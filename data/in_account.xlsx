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325" yWindow="1905" windowWidth="11235" windowHeight="7125" tabRatio="756"/>
  </bookViews>
  <sheets>
    <sheet name="My_Income" sheetId="21" r:id="rId1"/>
    <sheet name="My_Accounts" sheetId="18" r:id="rId2"/>
    <sheet name="I-Accounts" sheetId="5" r:id="rId3"/>
    <sheet name="Withdrawal Schedule" sheetId="4" r:id="rId4"/>
    <sheet name="RMD Table" sheetId="3" r:id="rId5"/>
    <sheet name="RMD Schema" sheetId="9" r:id="rId6"/>
  </sheets>
  <definedNames>
    <definedName name="_xlnm._FilterDatabase" localSheetId="2">'I-Accounts'!$A$1:$H$1</definedName>
  </definedNames>
  <calcPr calcId="145621"/>
</workbook>
</file>

<file path=xl/calcChain.xml><?xml version="1.0" encoding="utf-8"?>
<calcChain xmlns="http://schemas.openxmlformats.org/spreadsheetml/2006/main">
  <c r="C2" i="21" l="1"/>
  <c r="C3" i="21"/>
  <c r="C6" i="9" l="1"/>
  <c r="J4" i="4" l="1"/>
  <c r="J5" i="4" s="1"/>
  <c r="J6" i="4" s="1"/>
  <c r="J7" i="4" s="1"/>
  <c r="J8" i="4" s="1"/>
  <c r="J9" i="4" s="1"/>
  <c r="J10" i="4" s="1"/>
  <c r="J11" i="4" s="1"/>
  <c r="G2" i="4"/>
  <c r="E2" i="4"/>
  <c r="E3" i="4" s="1"/>
  <c r="E4" i="4" s="1"/>
  <c r="E5" i="4" s="1"/>
  <c r="E6" i="4" s="1"/>
  <c r="E7" i="4" s="1"/>
  <c r="E8" i="4" s="1"/>
  <c r="E9" i="4" s="1"/>
  <c r="E10" i="4" s="1"/>
  <c r="E11" i="4" s="1"/>
  <c r="G3" i="4" l="1"/>
  <c r="F12" i="4"/>
  <c r="E12" i="4" l="1"/>
  <c r="F13" i="4" s="1"/>
  <c r="H3" i="4"/>
  <c r="I3" i="4" s="1"/>
  <c r="G4" i="4" l="1"/>
  <c r="H4" i="4" s="1"/>
  <c r="I4" i="4" s="1"/>
  <c r="E13" i="4"/>
  <c r="F14" i="4" s="1"/>
  <c r="G5" i="4" l="1"/>
  <c r="H5" i="4" s="1"/>
  <c r="I5" i="4" s="1"/>
  <c r="E14" i="4"/>
  <c r="F15" i="4" s="1"/>
  <c r="G6" i="4"/>
  <c r="H6" i="4" s="1"/>
  <c r="I6" i="4" s="1"/>
  <c r="E15" i="4" l="1"/>
  <c r="F16" i="4" s="1"/>
  <c r="G7" i="4"/>
  <c r="H7" i="4" s="1"/>
  <c r="I7" i="4" s="1"/>
  <c r="E16" i="4" l="1"/>
  <c r="F17" i="4" s="1"/>
  <c r="G8" i="4"/>
  <c r="H8" i="4" s="1"/>
  <c r="I8" i="4" s="1"/>
  <c r="E17" i="4" l="1"/>
  <c r="F18" i="4" s="1"/>
  <c r="G9" i="4"/>
  <c r="H9" i="4" s="1"/>
  <c r="I9" i="4" s="1"/>
  <c r="E18" i="4" l="1"/>
  <c r="F19" i="4" s="1"/>
  <c r="G10" i="4"/>
  <c r="H10" i="4" s="1"/>
  <c r="I10" i="4" s="1"/>
  <c r="E19" i="4" l="1"/>
  <c r="F20" i="4" s="1"/>
  <c r="G11" i="4"/>
  <c r="H11" i="4" s="1"/>
  <c r="I11" i="4" s="1"/>
  <c r="E20" i="4" l="1"/>
  <c r="F21" i="4" s="1"/>
  <c r="G12" i="4"/>
  <c r="H12" i="4" s="1"/>
  <c r="I12" i="4" s="1"/>
  <c r="E21" i="4" l="1"/>
  <c r="F22" i="4" s="1"/>
  <c r="G13" i="4"/>
  <c r="H13" i="4" s="1"/>
  <c r="I13" i="4" s="1"/>
  <c r="E22" i="4" l="1"/>
  <c r="G14" i="4"/>
  <c r="H14" i="4" s="1"/>
  <c r="I14" i="4" s="1"/>
  <c r="F23" i="4"/>
  <c r="E23" i="4" l="1"/>
  <c r="G15" i="4"/>
  <c r="H15" i="4" s="1"/>
  <c r="I15" i="4" s="1"/>
  <c r="F24" i="4"/>
  <c r="E24" i="4" l="1"/>
  <c r="F25" i="4" s="1"/>
  <c r="G16" i="4"/>
  <c r="H16" i="4" s="1"/>
  <c r="I16" i="4" s="1"/>
  <c r="E25" i="4" l="1"/>
  <c r="F26" i="4" s="1"/>
  <c r="G17" i="4"/>
  <c r="H17" i="4" s="1"/>
  <c r="I17" i="4" s="1"/>
  <c r="E26" i="4" l="1"/>
  <c r="F27" i="4" s="1"/>
  <c r="G18" i="4"/>
  <c r="H18" i="4" s="1"/>
  <c r="I18" i="4" s="1"/>
  <c r="E27" i="4" l="1"/>
  <c r="G19" i="4"/>
  <c r="H19" i="4" s="1"/>
  <c r="I19" i="4" s="1"/>
  <c r="F28" i="4"/>
  <c r="E28" i="4" l="1"/>
  <c r="F29" i="4" s="1"/>
  <c r="G20" i="4"/>
  <c r="H20" i="4" s="1"/>
  <c r="I20" i="4" s="1"/>
  <c r="E29" i="4" l="1"/>
  <c r="G21" i="4"/>
  <c r="H21" i="4" s="1"/>
  <c r="I21" i="4" s="1"/>
  <c r="F30" i="4"/>
  <c r="E30" i="4" l="1"/>
  <c r="F31" i="4" s="1"/>
  <c r="G22" i="4"/>
  <c r="H22" i="4" s="1"/>
  <c r="I22" i="4" s="1"/>
  <c r="E31" i="4" l="1"/>
  <c r="G23" i="4"/>
  <c r="H23" i="4" s="1"/>
  <c r="I23" i="4" s="1"/>
  <c r="F32" i="4"/>
  <c r="E32" i="4" l="1"/>
  <c r="F33" i="4" s="1"/>
  <c r="G24" i="4"/>
  <c r="H24" i="4" s="1"/>
  <c r="I24" i="4" s="1"/>
  <c r="E33" i="4" l="1"/>
  <c r="G25" i="4"/>
  <c r="H25" i="4" s="1"/>
  <c r="I25" i="4" s="1"/>
  <c r="F34" i="4"/>
  <c r="E34" i="4" l="1"/>
  <c r="G26" i="4"/>
  <c r="H26" i="4" s="1"/>
  <c r="I26" i="4" s="1"/>
  <c r="F35" i="4"/>
  <c r="E35" i="4" l="1"/>
  <c r="G27" i="4"/>
  <c r="H27" i="4" s="1"/>
  <c r="I27" i="4" s="1"/>
  <c r="F36" i="4"/>
  <c r="E36" i="4" l="1"/>
  <c r="G28" i="4"/>
  <c r="H28" i="4" s="1"/>
  <c r="I28" i="4" s="1"/>
  <c r="F37" i="4"/>
  <c r="E37" i="4" l="1"/>
  <c r="F38" i="4" s="1"/>
  <c r="G29" i="4"/>
  <c r="H29" i="4" s="1"/>
  <c r="I29" i="4" s="1"/>
  <c r="E38" i="4" l="1"/>
  <c r="G30" i="4"/>
  <c r="H30" i="4" s="1"/>
  <c r="I30" i="4" s="1"/>
  <c r="F39" i="4"/>
  <c r="E39" i="4" l="1"/>
  <c r="F40" i="4" s="1"/>
  <c r="G31" i="4"/>
  <c r="H31" i="4" s="1"/>
  <c r="I31" i="4" s="1"/>
  <c r="E40" i="4" l="1"/>
  <c r="G32" i="4"/>
  <c r="H32" i="4" s="1"/>
  <c r="I32" i="4" s="1"/>
  <c r="F41" i="4"/>
  <c r="E41" i="4" l="1"/>
  <c r="G33" i="4"/>
  <c r="H33" i="4" s="1"/>
  <c r="I33" i="4" s="1"/>
  <c r="F42" i="4"/>
  <c r="E42" i="4" l="1"/>
  <c r="G34" i="4"/>
  <c r="H34" i="4" s="1"/>
  <c r="I34" i="4" s="1"/>
  <c r="F43" i="4"/>
  <c r="E43" i="4" l="1"/>
  <c r="F44" i="4" s="1"/>
  <c r="G35" i="4"/>
  <c r="H35" i="4" s="1"/>
  <c r="I35" i="4" s="1"/>
  <c r="E44" i="4" l="1"/>
  <c r="G36" i="4"/>
  <c r="H36" i="4" s="1"/>
  <c r="I36" i="4" s="1"/>
  <c r="F45" i="4"/>
  <c r="E45" i="4" l="1"/>
  <c r="G37" i="4"/>
  <c r="H37" i="4" s="1"/>
  <c r="I37" i="4" s="1"/>
  <c r="F46" i="4"/>
  <c r="E46" i="4" l="1"/>
  <c r="G38" i="4"/>
  <c r="H38" i="4" s="1"/>
  <c r="I38" i="4" s="1"/>
  <c r="F47" i="4"/>
  <c r="E47" i="4" l="1"/>
  <c r="F48" i="4" s="1"/>
  <c r="G39" i="4"/>
  <c r="H39" i="4" s="1"/>
  <c r="I39" i="4" s="1"/>
  <c r="E48" i="4" l="1"/>
  <c r="G40" i="4"/>
  <c r="H40" i="4" s="1"/>
  <c r="I40" i="4" s="1"/>
  <c r="F49" i="4"/>
  <c r="E49" i="4" l="1"/>
  <c r="G41" i="4"/>
  <c r="H41" i="4" s="1"/>
  <c r="I41" i="4" s="1"/>
  <c r="G42" i="4" l="1"/>
  <c r="H42" i="4" s="1"/>
  <c r="I42" i="4" s="1"/>
  <c r="F50" i="4"/>
  <c r="E50" i="4" l="1"/>
  <c r="G43" i="4"/>
  <c r="H43" i="4" s="1"/>
  <c r="I43" i="4" s="1"/>
  <c r="F51" i="4"/>
  <c r="E51" i="4" l="1"/>
  <c r="G44" i="4"/>
  <c r="H44" i="4" s="1"/>
  <c r="I44" i="4" s="1"/>
  <c r="F52" i="4"/>
  <c r="E52" i="4" l="1"/>
  <c r="G45" i="4"/>
  <c r="H45" i="4" s="1"/>
  <c r="I45" i="4" s="1"/>
  <c r="F53" i="4"/>
  <c r="E53" i="4" l="1"/>
  <c r="G46" i="4"/>
  <c r="H46" i="4" s="1"/>
  <c r="I46" i="4" s="1"/>
  <c r="F54" i="4"/>
  <c r="E54" i="4" l="1"/>
  <c r="G47" i="4"/>
  <c r="H47" i="4" s="1"/>
  <c r="I47" i="4" s="1"/>
  <c r="F55" i="4"/>
  <c r="E55" i="4" l="1"/>
  <c r="G48" i="4"/>
  <c r="H48" i="4" s="1"/>
  <c r="I48" i="4" s="1"/>
  <c r="F56" i="4"/>
  <c r="E56" i="4" l="1"/>
  <c r="G49" i="4"/>
  <c r="H49" i="4" s="1"/>
  <c r="I49" i="4" s="1"/>
  <c r="F57" i="4"/>
  <c r="E57" i="4" l="1"/>
  <c r="G50" i="4"/>
  <c r="H50" i="4" s="1"/>
  <c r="I50" i="4" s="1"/>
  <c r="F58" i="4"/>
  <c r="E58" i="4" l="1"/>
  <c r="G51" i="4"/>
  <c r="H51" i="4" s="1"/>
  <c r="I51" i="4" s="1"/>
  <c r="F59" i="4"/>
  <c r="E59" i="4" l="1"/>
  <c r="G52" i="4"/>
  <c r="H52" i="4" s="1"/>
  <c r="I52" i="4" s="1"/>
  <c r="G53" i="4" l="1"/>
  <c r="H53" i="4" s="1"/>
  <c r="I53" i="4" s="1"/>
  <c r="G54" i="4" l="1"/>
  <c r="H54" i="4" s="1"/>
  <c r="I54" i="4" s="1"/>
  <c r="G55" i="4" l="1"/>
  <c r="H55" i="4" s="1"/>
  <c r="I55" i="4" s="1"/>
  <c r="G56" i="4" l="1"/>
  <c r="H56" i="4" s="1"/>
  <c r="I56" i="4" s="1"/>
  <c r="G57" i="4" l="1"/>
  <c r="H57" i="4" s="1"/>
  <c r="I57" i="4" s="1"/>
  <c r="G58" i="4" l="1"/>
  <c r="H58" i="4" s="1"/>
  <c r="I58" i="4" s="1"/>
  <c r="G59" i="4" l="1"/>
  <c r="H59" i="4" s="1"/>
  <c r="I59" i="4" s="1"/>
</calcChain>
</file>

<file path=xl/sharedStrings.xml><?xml version="1.0" encoding="utf-8"?>
<sst xmlns="http://schemas.openxmlformats.org/spreadsheetml/2006/main" count="146" uniqueCount="88">
  <si>
    <t>Single</t>
  </si>
  <si>
    <t>Label</t>
  </si>
  <si>
    <t>Year</t>
  </si>
  <si>
    <t>NA</t>
  </si>
  <si>
    <t>Age</t>
  </si>
  <si>
    <t>Life Expectancy Factor</t>
  </si>
  <si>
    <t>Sample RMD</t>
  </si>
  <si>
    <t>Sample End of Year Balance</t>
  </si>
  <si>
    <t>IRA EOY Balance</t>
  </si>
  <si>
    <t>Savings EOY Balance</t>
  </si>
  <si>
    <t>Roth Conversion Amount</t>
  </si>
  <si>
    <t>Roth EOY Amount</t>
  </si>
  <si>
    <t>Rate</t>
  </si>
  <si>
    <t>Savings Distribution</t>
  </si>
  <si>
    <t>Inherited IRA Distribution</t>
  </si>
  <si>
    <t>IRA Distribution</t>
  </si>
  <si>
    <t>Inherited IRA EOY Balance</t>
  </si>
  <si>
    <t>Total Distribution</t>
  </si>
  <si>
    <t>Traditional IRA</t>
  </si>
  <si>
    <t>Account Type</t>
  </si>
  <si>
    <t>Account Name</t>
  </si>
  <si>
    <t>EOY Balance</t>
  </si>
  <si>
    <t>Roth</t>
  </si>
  <si>
    <t>IRA</t>
  </si>
  <si>
    <t>Prior Owner Birth Date</t>
  </si>
  <si>
    <t>https://inherited-rmd-calculator.web.vanguard.com/</t>
  </si>
  <si>
    <t>Birth Year</t>
  </si>
  <si>
    <t>RMD Year</t>
  </si>
  <si>
    <t>Owner birth year</t>
  </si>
  <si>
    <t>RMD Withdrawal Year</t>
  </si>
  <si>
    <t xml:space="preserve">Traditional IRA, Roth IRA, TSP, 401K, SEP IRA, Simple IRA and Simple 401K </t>
  </si>
  <si>
    <t>Comment</t>
  </si>
  <si>
    <t>Sample</t>
  </si>
  <si>
    <t>Deceased Birth Date</t>
  </si>
  <si>
    <t>Deceased Death Date</t>
  </si>
  <si>
    <t>Rules are unique base on year of death: 2019 and prior, 2020-2022, 2023 and beyond</t>
  </si>
  <si>
    <t>Multiple Primary Beneficiary</t>
  </si>
  <si>
    <t>Yes</t>
  </si>
  <si>
    <t>Account Registration</t>
  </si>
  <si>
    <t>Individual</t>
  </si>
  <si>
    <t>As individual, as a trust or estate</t>
  </si>
  <si>
    <t xml:space="preserve">All individual, </t>
  </si>
  <si>
    <t>All Individual Beneficiaries?</t>
  </si>
  <si>
    <t>Separate Accounts Established?</t>
  </si>
  <si>
    <t>Separate accounts must be set up by December 31 the year following the year of the original account owner’s death. If multiple separate beneficiary accounts aren’t set up by the IRS deadline, distributions are based on the oldest beneficiary.</t>
  </si>
  <si>
    <t>Beneficary DOB</t>
  </si>
  <si>
    <t>Use my date of birth versus oldest beneficiary's DOB</t>
  </si>
  <si>
    <t>Remaining RMD amount</t>
  </si>
  <si>
    <t>RMD Calculation</t>
  </si>
  <si>
    <t>Brokerage</t>
  </si>
  <si>
    <t>Beneficiary Birth Year</t>
  </si>
  <si>
    <t>Filing Status</t>
  </si>
  <si>
    <t>Owner Birth Date</t>
  </si>
  <si>
    <t>1961-06-13</t>
  </si>
  <si>
    <t>1933-10-15</t>
  </si>
  <si>
    <t>IRA -Rollover</t>
  </si>
  <si>
    <t>TSP</t>
  </si>
  <si>
    <t>Brokerage - 1</t>
  </si>
  <si>
    <t>Roth - 1</t>
  </si>
  <si>
    <t>Owner Filing Status</t>
  </si>
  <si>
    <t>Prior Owner Death Year</t>
  </si>
  <si>
    <t>Prior Year End Balance</t>
  </si>
  <si>
    <t>IRA-Inherited</t>
  </si>
  <si>
    <t>Roth IRA</t>
  </si>
  <si>
    <t>Roth IRA Inherited</t>
  </si>
  <si>
    <t>Roth IRA 1</t>
  </si>
  <si>
    <t>IRA Inherit 1</t>
  </si>
  <si>
    <t>Roth IRA Inherit 1</t>
  </si>
  <si>
    <t>1961-06-14</t>
  </si>
  <si>
    <t>1961-06-15</t>
  </si>
  <si>
    <t>Owner Birthdate ISO</t>
  </si>
  <si>
    <t>Prior Owner Birthdate ISO</t>
  </si>
  <si>
    <t>Begin Year</t>
  </si>
  <si>
    <t>Begin Balance</t>
  </si>
  <si>
    <t>My SS Income</t>
  </si>
  <si>
    <t>My Gov Annuity</t>
  </si>
  <si>
    <t>Begin Age</t>
  </si>
  <si>
    <t>Base Income</t>
  </si>
  <si>
    <t>ira_inherited</t>
  </si>
  <si>
    <t>tsp</t>
  </si>
  <si>
    <t>brokerage</t>
  </si>
  <si>
    <t>roth_ira</t>
  </si>
  <si>
    <t>roth_ira_inherited</t>
  </si>
  <si>
    <t>ira</t>
  </si>
  <si>
    <t>ssa_income</t>
  </si>
  <si>
    <t>fers_income</t>
  </si>
  <si>
    <t>Other</t>
  </si>
  <si>
    <t>ordinary_income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</si>
</sst>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8" formatCode="&quot;$&quot;#,##0.00_);[Red]\(&quot;$&quot;#,##0.00\)"/>
    <numFmt numFmtId="44" formatCode="_(&quot;$&quot;* #,##0.00_);_(&quot;$&quot;* \(#,##0.00\);_(&quot;$&quot;* &quot;-&quot;??_);_(@_)"/>
    <numFmt numFmtId="164" formatCode="&quot;$&quot;#,##0"/>
    <numFmt numFmtId="165" formatCode="_([$$-409]* #,##0_);_([$$-409]* \(#,##0\);_([$$-409]* &quot;-&quot;??_);_(@_)"/>
    <numFmt numFmtId="166" formatCode="_([$$-409]* #,##0.00_);_([$$-409]* \(#,##0.00\);_([$$-409]* &quot;-&quot;??_);_(@_)"/>
    <numFmt numFmtId="167" formatCode="&quot;$&quot;#,##0.00"/>
  </numFmts>
  <fonts count="8" x14ac:knownFonts="1">
    <font>
      <sz val="11"/>
      <color theme="1"/>
      <name val="Calibri"/>
      <family val="2"/>
      <scheme val="minor"/>
    </font>
    <font>
      <sz val="11"/>
      <color theme="1"/>
      <name val="Calibri"/>
      <family val="2"/>
      <scheme val="minor"/>
    </font>
    <font>
      <sz val="11"/>
      <name val="Calibri"/>
      <family val="2"/>
      <scheme val="minor"/>
    </font>
    <font>
      <sz val="11"/>
      <color rgb="FF000000"/>
      <name val="Calibri"/>
      <family val="2"/>
      <scheme val="minor"/>
    </font>
    <font>
      <sz val="11"/>
      <color rgb="FF3F3F76"/>
      <name val="Calibri"/>
      <family val="2"/>
      <scheme val="minor"/>
    </font>
    <font>
      <b/>
      <sz val="11"/>
      <name val="Calibri"/>
      <family val="2"/>
      <scheme val="minor"/>
    </font>
    <font>
      <u/>
      <sz val="11"/>
      <color theme="10"/>
      <name val="Calibri"/>
      <family val="2"/>
      <scheme val="minor"/>
    </font>
    <font>
      <b/>
      <sz val="11"/>
      <name val="Calibri"/>
      <family val="2"/>
    </font>
  </fonts>
  <fills count="7">
    <fill>
      <patternFill patternType="none"/>
    </fill>
    <fill>
      <patternFill patternType="gray125"/>
    </fill>
    <fill>
      <patternFill patternType="solid">
        <fgColor theme="3" tint="0.79998168889431442"/>
        <bgColor indexed="64"/>
      </patternFill>
    </fill>
    <fill>
      <patternFill patternType="solid">
        <fgColor rgb="FFFFFFFF"/>
        <bgColor indexed="64"/>
      </patternFill>
    </fill>
    <fill>
      <patternFill patternType="solid">
        <fgColor rgb="FFEEEEEE"/>
        <bgColor indexed="64"/>
      </patternFill>
    </fill>
    <fill>
      <patternFill patternType="solid">
        <fgColor rgb="FFFFCC99"/>
      </patternFill>
    </fill>
    <fill>
      <patternFill patternType="solid">
        <fgColor theme="3" tint="0.39997558519241921"/>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medium">
        <color rgb="FFCCCCCC"/>
      </left>
      <right style="medium">
        <color rgb="FFCCCCCC"/>
      </right>
      <top style="medium">
        <color rgb="FFCCCCCC"/>
      </top>
      <bottom/>
      <diagonal/>
    </border>
  </borders>
  <cellStyleXfs count="4">
    <xf numFmtId="0" fontId="0" fillId="0" borderId="0"/>
    <xf numFmtId="44" fontId="1" fillId="0" borderId="0" applyFont="0" applyFill="0" applyBorder="0" applyAlignment="0" applyProtection="0"/>
    <xf numFmtId="0" fontId="4" fillId="5" borderId="4" applyNumberFormat="0" applyAlignment="0" applyProtection="0"/>
    <xf numFmtId="0" fontId="6" fillId="0" borderId="0" applyNumberFormat="0" applyFill="0" applyBorder="0" applyAlignment="0" applyProtection="0"/>
  </cellStyleXfs>
  <cellXfs count="52">
    <xf numFmtId="0" fontId="0" fillId="0" borderId="0" xfId="0"/>
    <xf numFmtId="49" fontId="0" fillId="0" borderId="0" xfId="0" applyNumberFormat="1"/>
    <xf numFmtId="0" fontId="0" fillId="0" borderId="0" xfId="0" applyFont="1"/>
    <xf numFmtId="0" fontId="3" fillId="3" borderId="1" xfId="0" applyFont="1" applyFill="1" applyBorder="1" applyAlignment="1">
      <alignment vertical="center" wrapText="1"/>
    </xf>
    <xf numFmtId="0" fontId="3" fillId="3" borderId="1" xfId="0" applyFont="1" applyFill="1" applyBorder="1" applyAlignment="1">
      <alignment horizontal="center" vertical="center" wrapText="1"/>
    </xf>
    <xf numFmtId="8" fontId="3" fillId="3" borderId="1" xfId="0" applyNumberFormat="1" applyFont="1" applyFill="1" applyBorder="1" applyAlignment="1">
      <alignment horizontal="right" vertical="center" wrapText="1"/>
    </xf>
    <xf numFmtId="0" fontId="3" fillId="4" borderId="1" xfId="0" applyFont="1" applyFill="1" applyBorder="1" applyAlignment="1">
      <alignment vertical="center" wrapText="1"/>
    </xf>
    <xf numFmtId="0" fontId="3" fillId="4" borderId="1" xfId="0" applyFont="1" applyFill="1" applyBorder="1" applyAlignment="1">
      <alignment horizontal="center" vertical="center" wrapText="1"/>
    </xf>
    <xf numFmtId="8" fontId="3" fillId="4" borderId="1" xfId="0" applyNumberFormat="1" applyFont="1" applyFill="1" applyBorder="1" applyAlignment="1">
      <alignment horizontal="right" vertical="center" wrapText="1"/>
    </xf>
    <xf numFmtId="0" fontId="3" fillId="3" borderId="2" xfId="0" applyFont="1" applyFill="1" applyBorder="1" applyAlignment="1">
      <alignment vertical="center" wrapText="1"/>
    </xf>
    <xf numFmtId="0" fontId="3" fillId="3" borderId="2" xfId="0" applyFont="1" applyFill="1" applyBorder="1" applyAlignment="1">
      <alignment horizontal="center" vertical="center" wrapText="1"/>
    </xf>
    <xf numFmtId="8" fontId="3" fillId="3" borderId="2" xfId="0" applyNumberFormat="1" applyFont="1" applyFill="1" applyBorder="1" applyAlignment="1">
      <alignment horizontal="right" vertical="center" wrapText="1"/>
    </xf>
    <xf numFmtId="0" fontId="5" fillId="2" borderId="3" xfId="0" applyFont="1" applyFill="1" applyBorder="1" applyAlignment="1">
      <alignment horizontal="center" vertical="center" wrapText="1"/>
    </xf>
    <xf numFmtId="9" fontId="5" fillId="2" borderId="3" xfId="0" applyNumberFormat="1" applyFont="1" applyFill="1" applyBorder="1" applyAlignment="1">
      <alignment horizontal="center" vertical="center" wrapText="1"/>
    </xf>
    <xf numFmtId="165" fontId="5" fillId="2" borderId="3" xfId="0" applyNumberFormat="1" applyFont="1" applyFill="1" applyBorder="1" applyAlignment="1">
      <alignment horizontal="center" vertical="center" wrapText="1"/>
    </xf>
    <xf numFmtId="166" fontId="4" fillId="5" borderId="4" xfId="2" applyNumberFormat="1" applyAlignment="1">
      <alignment horizontal="center" vertical="center" wrapText="1"/>
    </xf>
    <xf numFmtId="0" fontId="3" fillId="4" borderId="5" xfId="0" applyFont="1" applyFill="1" applyBorder="1" applyAlignment="1">
      <alignment vertical="center" wrapText="1"/>
    </xf>
    <xf numFmtId="0" fontId="3" fillId="4" borderId="5" xfId="0" applyFont="1" applyFill="1" applyBorder="1" applyAlignment="1">
      <alignment horizontal="center" vertical="center" wrapText="1"/>
    </xf>
    <xf numFmtId="8" fontId="3" fillId="4" borderId="5" xfId="0" applyNumberFormat="1" applyFont="1" applyFill="1" applyBorder="1" applyAlignment="1">
      <alignment horizontal="right" vertical="center" wrapText="1"/>
    </xf>
    <xf numFmtId="0" fontId="3" fillId="4" borderId="2" xfId="0" applyFont="1" applyFill="1" applyBorder="1" applyAlignment="1">
      <alignment vertical="center" wrapText="1"/>
    </xf>
    <xf numFmtId="0" fontId="3" fillId="4" borderId="2" xfId="0" applyFont="1" applyFill="1" applyBorder="1" applyAlignment="1">
      <alignment horizontal="center" vertical="center" wrapText="1"/>
    </xf>
    <xf numFmtId="8" fontId="3" fillId="4" borderId="2" xfId="0" applyNumberFormat="1" applyFont="1" applyFill="1" applyBorder="1" applyAlignment="1">
      <alignment horizontal="right" vertical="center" wrapText="1"/>
    </xf>
    <xf numFmtId="0" fontId="2" fillId="0" borderId="0" xfId="2" applyFont="1" applyFill="1" applyBorder="1"/>
    <xf numFmtId="0" fontId="5" fillId="6" borderId="3" xfId="0" applyFont="1" applyFill="1" applyBorder="1" applyAlignment="1">
      <alignment horizontal="center" vertical="center" wrapText="1"/>
    </xf>
    <xf numFmtId="8" fontId="0" fillId="0" borderId="3" xfId="0" applyNumberFormat="1" applyFont="1" applyBorder="1"/>
    <xf numFmtId="0" fontId="3" fillId="0" borderId="3" xfId="0" applyFont="1" applyFill="1" applyBorder="1" applyAlignment="1">
      <alignment vertical="center" wrapText="1"/>
    </xf>
    <xf numFmtId="0" fontId="3" fillId="0" borderId="3" xfId="0" applyFont="1" applyFill="1" applyBorder="1" applyAlignment="1">
      <alignment horizontal="center" vertical="center" wrapText="1"/>
    </xf>
    <xf numFmtId="8" fontId="4" fillId="5" borderId="3" xfId="2" applyNumberFormat="1" applyBorder="1"/>
    <xf numFmtId="0" fontId="0" fillId="0" borderId="3" xfId="0" applyFont="1" applyFill="1" applyBorder="1"/>
    <xf numFmtId="0" fontId="0" fillId="0" borderId="3" xfId="0" applyFont="1" applyBorder="1"/>
    <xf numFmtId="8" fontId="0" fillId="0" borderId="3" xfId="0" applyNumberFormat="1" applyFont="1" applyFill="1" applyBorder="1"/>
    <xf numFmtId="166" fontId="2" fillId="2" borderId="3" xfId="2" applyNumberFormat="1" applyFont="1" applyFill="1" applyBorder="1"/>
    <xf numFmtId="166" fontId="2" fillId="2" borderId="3" xfId="2" applyNumberFormat="1" applyFont="1" applyFill="1" applyBorder="1" applyAlignment="1">
      <alignment horizontal="center" vertical="center" wrapText="1"/>
    </xf>
    <xf numFmtId="8" fontId="2" fillId="2" borderId="3" xfId="0" applyNumberFormat="1" applyFont="1" applyFill="1" applyBorder="1"/>
    <xf numFmtId="10" fontId="4" fillId="5" borderId="4" xfId="2" applyNumberFormat="1"/>
    <xf numFmtId="166" fontId="0" fillId="0" borderId="3" xfId="0" applyNumberFormat="1" applyFont="1" applyFill="1" applyBorder="1"/>
    <xf numFmtId="167" fontId="0" fillId="0" borderId="0" xfId="0" applyNumberFormat="1"/>
    <xf numFmtId="0" fontId="0" fillId="0" borderId="0" xfId="0" applyAlignment="1">
      <alignment wrapText="1"/>
    </xf>
    <xf numFmtId="0" fontId="6" fillId="0" borderId="0" xfId="3" applyAlignment="1">
      <alignment horizontal="left" vertical="top"/>
    </xf>
    <xf numFmtId="0" fontId="0" fillId="0" borderId="0" xfId="0" applyAlignment="1">
      <alignment horizontal="left" vertical="top"/>
    </xf>
    <xf numFmtId="0" fontId="0" fillId="2" borderId="0" xfId="0" applyFill="1" applyAlignment="1">
      <alignment horizontal="left" vertical="top" wrapText="1"/>
    </xf>
    <xf numFmtId="0" fontId="0" fillId="0" borderId="0" xfId="0" applyAlignment="1">
      <alignment horizontal="left" vertical="top" wrapText="1"/>
    </xf>
    <xf numFmtId="3" fontId="0" fillId="0" borderId="0" xfId="0" applyNumberFormat="1" applyAlignment="1">
      <alignment horizontal="left" vertical="top" wrapText="1"/>
    </xf>
    <xf numFmtId="14" fontId="0" fillId="0" borderId="0" xfId="0" applyNumberFormat="1" applyAlignment="1">
      <alignment horizontal="left" vertical="top" wrapText="1"/>
    </xf>
    <xf numFmtId="0" fontId="0" fillId="0" borderId="0" xfId="0" applyAlignment="1">
      <alignment horizontal="center" vertical="top" wrapText="1"/>
    </xf>
    <xf numFmtId="1" fontId="0" fillId="0" borderId="0" xfId="0" applyNumberFormat="1" applyAlignment="1">
      <alignment horizontal="center" vertical="top" wrapText="1"/>
    </xf>
    <xf numFmtId="164" fontId="0" fillId="0" borderId="0" xfId="1" applyNumberFormat="1" applyFont="1" applyAlignment="1">
      <alignment horizontal="center" vertical="top" wrapText="1"/>
    </xf>
    <xf numFmtId="164" fontId="0" fillId="0" borderId="0" xfId="0" applyNumberFormat="1" applyAlignment="1">
      <alignment horizontal="center" vertical="top" wrapText="1"/>
    </xf>
    <xf numFmtId="49" fontId="2" fillId="2" borderId="0" xfId="0" applyNumberFormat="1" applyFont="1" applyFill="1" applyAlignment="1">
      <alignment horizontal="center" vertical="top" wrapText="1"/>
    </xf>
    <xf numFmtId="49" fontId="0" fillId="0" borderId="0" xfId="0" applyNumberFormat="1" applyAlignment="1">
      <alignment horizontal="center" vertical="top" wrapText="1"/>
    </xf>
    <xf numFmtId="0" fontId="7" fillId="0" borderId="3" xfId="0" applyFont="1" applyBorder="1" applyAlignment="1">
      <alignment horizontal="center" vertical="top" wrapText="1"/>
    </xf>
    <xf numFmtId="49" fontId="7" fillId="0" borderId="3" xfId="0" applyNumberFormat="1" applyFont="1" applyBorder="1" applyAlignment="1">
      <alignment horizontal="center" vertical="top" wrapText="1"/>
    </xf>
  </cellXfs>
  <cellStyles count="4">
    <cellStyle name="Currency" xfId="1" builtinId="4"/>
    <cellStyle name="Hyperlink" xfId="3" builtinId="8"/>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hyperlink" Target="https://inherited-rmd-calculator.web.vanguar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tabSelected="1" zoomScale="160" zoomScaleNormal="160" workbookViewId="0">
      <selection activeCell="A2" sqref="A2"/>
    </sheetView>
  </sheetViews>
  <sheetFormatPr defaultColWidth="9.5703125" defaultRowHeight="15" x14ac:dyDescent="0.25"/>
  <cols>
    <col min="1" max="1" width="17.85546875" bestFit="1" customWidth="1"/>
    <col min="2" max="2" width="17.5703125" bestFit="1" customWidth="1"/>
    <col min="3" max="3" width="10.5703125" bestFit="1" customWidth="1"/>
    <col min="4" max="4" width="10.42578125" style="1" bestFit="1" customWidth="1"/>
    <col min="5" max="5" width="6.42578125" bestFit="1" customWidth="1"/>
    <col min="6" max="6" width="6" customWidth="1"/>
  </cols>
  <sheetData>
    <row r="1" spans="1:6" s="37" customFormat="1" ht="45" x14ac:dyDescent="0.25">
      <c r="A1" s="50" t="s">
        <v>20</v>
      </c>
      <c r="B1" s="50" t="s">
        <v>19</v>
      </c>
      <c r="C1" s="50" t="s">
        <v>77</v>
      </c>
      <c r="D1" s="51" t="s">
        <v>70</v>
      </c>
      <c r="E1" s="50" t="s">
        <v>51</v>
      </c>
      <c r="F1" s="50" t="s">
        <v>76</v>
      </c>
    </row>
    <row r="2" spans="1:6" x14ac:dyDescent="0.25">
      <c r="A2" t="s">
        <v>74</v>
      </c>
      <c r="B2" t="s">
        <v>84</v>
      </c>
      <c r="C2" s="36">
        <f>3500*12</f>
        <v>42000</v>
      </c>
      <c r="D2" s="1" t="s">
        <v>53</v>
      </c>
      <c r="E2" t="s">
        <v>0</v>
      </c>
      <c r="F2">
        <v>70</v>
      </c>
    </row>
    <row r="3" spans="1:6" x14ac:dyDescent="0.25">
      <c r="A3" t="s">
        <v>75</v>
      </c>
      <c r="B3" t="s">
        <v>85</v>
      </c>
      <c r="C3" s="36">
        <f>1050*12</f>
        <v>12600</v>
      </c>
      <c r="D3" s="1" t="s">
        <v>53</v>
      </c>
      <c r="E3" t="s">
        <v>0</v>
      </c>
      <c r="F3">
        <v>64</v>
      </c>
    </row>
    <row r="4" spans="1:6" x14ac:dyDescent="0.25">
      <c r="A4" t="s">
        <v>86</v>
      </c>
      <c r="B4" t="s">
        <v>87</v>
      </c>
      <c r="C4">
        <v>0</v>
      </c>
      <c r="D4" s="1" t="s">
        <v>68</v>
      </c>
      <c r="E4" t="s">
        <v>0</v>
      </c>
      <c r="F4">
        <v>64</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zoomScale="140" zoomScaleNormal="140" workbookViewId="0">
      <selection activeCell="B2" sqref="B2"/>
    </sheetView>
  </sheetViews>
  <sheetFormatPr defaultColWidth="9.5703125" defaultRowHeight="15" x14ac:dyDescent="0.25"/>
  <cols>
    <col min="1" max="1" width="16.5703125" bestFit="1" customWidth="1"/>
    <col min="2" max="2" width="17.5703125" bestFit="1" customWidth="1"/>
    <col min="3" max="3" width="10.140625" bestFit="1" customWidth="1"/>
    <col min="4" max="4" width="11" bestFit="1" customWidth="1"/>
    <col min="5" max="5" width="10.42578125" style="1" bestFit="1" customWidth="1"/>
    <col min="6" max="6" width="6.42578125" bestFit="1" customWidth="1"/>
    <col min="7" max="7" width="11.140625" bestFit="1" customWidth="1"/>
    <col min="8" max="8" width="7" bestFit="1" customWidth="1"/>
    <col min="9" max="9" width="11" bestFit="1" customWidth="1"/>
  </cols>
  <sheetData>
    <row r="1" spans="1:9" s="37" customFormat="1" ht="60" x14ac:dyDescent="0.25">
      <c r="A1" s="50" t="s">
        <v>20</v>
      </c>
      <c r="B1" s="50" t="s">
        <v>19</v>
      </c>
      <c r="C1" s="50" t="s">
        <v>72</v>
      </c>
      <c r="D1" s="50" t="s">
        <v>73</v>
      </c>
      <c r="E1" s="51" t="s">
        <v>70</v>
      </c>
      <c r="F1" s="50" t="s">
        <v>51</v>
      </c>
      <c r="G1" s="50" t="s">
        <v>71</v>
      </c>
      <c r="H1" s="50" t="s">
        <v>60</v>
      </c>
      <c r="I1" s="50" t="s">
        <v>50</v>
      </c>
    </row>
    <row r="2" spans="1:9" x14ac:dyDescent="0.25">
      <c r="A2" t="s">
        <v>66</v>
      </c>
      <c r="B2" t="s">
        <v>78</v>
      </c>
      <c r="C2">
        <v>2025</v>
      </c>
      <c r="D2">
        <v>103697.63</v>
      </c>
      <c r="E2" s="1" t="s">
        <v>53</v>
      </c>
      <c r="F2" t="s">
        <v>0</v>
      </c>
      <c r="G2" t="s">
        <v>54</v>
      </c>
      <c r="H2">
        <v>2005</v>
      </c>
      <c r="I2">
        <v>1961</v>
      </c>
    </row>
    <row r="3" spans="1:9" x14ac:dyDescent="0.25">
      <c r="A3" t="s">
        <v>55</v>
      </c>
      <c r="B3" t="s">
        <v>83</v>
      </c>
      <c r="C3">
        <v>2025</v>
      </c>
      <c r="D3">
        <v>1504221.72</v>
      </c>
      <c r="E3" s="1" t="s">
        <v>53</v>
      </c>
      <c r="F3" t="s">
        <v>0</v>
      </c>
    </row>
    <row r="4" spans="1:9" x14ac:dyDescent="0.25">
      <c r="A4" t="s">
        <v>56</v>
      </c>
      <c r="B4" t="s">
        <v>79</v>
      </c>
      <c r="C4">
        <v>2025</v>
      </c>
      <c r="D4">
        <v>313421.52</v>
      </c>
      <c r="E4" s="1" t="s">
        <v>53</v>
      </c>
      <c r="F4" t="s">
        <v>0</v>
      </c>
    </row>
    <row r="5" spans="1:9" x14ac:dyDescent="0.25">
      <c r="A5" t="s">
        <v>57</v>
      </c>
      <c r="B5" t="s">
        <v>80</v>
      </c>
      <c r="C5">
        <v>2025</v>
      </c>
      <c r="D5">
        <v>2069090.01</v>
      </c>
      <c r="E5" s="1" t="s">
        <v>53</v>
      </c>
      <c r="F5" t="s">
        <v>0</v>
      </c>
    </row>
    <row r="6" spans="1:9" x14ac:dyDescent="0.25">
      <c r="A6" t="s">
        <v>65</v>
      </c>
      <c r="B6" t="s">
        <v>81</v>
      </c>
      <c r="C6">
        <v>2025</v>
      </c>
      <c r="D6">
        <v>0</v>
      </c>
      <c r="E6" s="1" t="s">
        <v>53</v>
      </c>
      <c r="F6" t="s">
        <v>0</v>
      </c>
    </row>
    <row r="7" spans="1:9" x14ac:dyDescent="0.25">
      <c r="A7" t="s">
        <v>67</v>
      </c>
      <c r="B7" t="s">
        <v>82</v>
      </c>
      <c r="C7">
        <v>2025</v>
      </c>
      <c r="D7">
        <v>0</v>
      </c>
      <c r="E7" s="1" t="s">
        <v>53</v>
      </c>
      <c r="F7" t="s">
        <v>0</v>
      </c>
    </row>
    <row r="8" spans="1:9" x14ac:dyDescent="0.25">
      <c r="D8" s="36"/>
    </row>
    <row r="9" spans="1:9" x14ac:dyDescent="0.25">
      <c r="D9" s="36"/>
    </row>
    <row r="10" spans="1:9" x14ac:dyDescent="0.25">
      <c r="D10" s="36"/>
    </row>
    <row r="13" spans="1:9" x14ac:dyDescent="0.25">
      <c r="D13" s="1"/>
      <c r="E13"/>
    </row>
    <row r="14" spans="1:9" x14ac:dyDescent="0.25">
      <c r="D14" s="1"/>
      <c r="E14"/>
    </row>
    <row r="15" spans="1:9" x14ac:dyDescent="0.25">
      <c r="D15" s="1"/>
      <c r="E15"/>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8"/>
  <sheetViews>
    <sheetView workbookViewId="0">
      <pane ySplit="1" topLeftCell="A2" activePane="bottomLeft" state="frozen"/>
      <selection pane="bottomLeft"/>
    </sheetView>
  </sheetViews>
  <sheetFormatPr defaultRowHeight="15" x14ac:dyDescent="0.25"/>
  <cols>
    <col min="1" max="1" width="18.5703125" style="49" bestFit="1" customWidth="1"/>
    <col min="2" max="2" width="17.42578125" style="49" bestFit="1" customWidth="1"/>
    <col min="3" max="3" width="14.140625" style="47" bestFit="1" customWidth="1"/>
    <col min="4" max="4" width="13.85546875" style="49" bestFit="1" customWidth="1"/>
    <col min="5" max="5" width="11.5703125" style="49" bestFit="1" customWidth="1"/>
    <col min="6" max="6" width="11.5703125" style="49" customWidth="1"/>
    <col min="7" max="7" width="15.140625" style="45" bestFit="1" customWidth="1"/>
    <col min="8" max="8" width="15.5703125" style="45" bestFit="1" customWidth="1"/>
    <col min="9" max="16384" width="9.140625" style="44"/>
  </cols>
  <sheetData>
    <row r="1" spans="1:8" s="49" customFormat="1" ht="45" x14ac:dyDescent="0.25">
      <c r="A1" s="48" t="s">
        <v>20</v>
      </c>
      <c r="B1" s="48" t="s">
        <v>19</v>
      </c>
      <c r="C1" s="48" t="s">
        <v>61</v>
      </c>
      <c r="D1" s="48" t="s">
        <v>52</v>
      </c>
      <c r="E1" s="48" t="s">
        <v>59</v>
      </c>
      <c r="F1" s="48" t="s">
        <v>24</v>
      </c>
      <c r="G1" s="48" t="s">
        <v>60</v>
      </c>
      <c r="H1" s="48" t="s">
        <v>50</v>
      </c>
    </row>
    <row r="2" spans="1:8" x14ac:dyDescent="0.25">
      <c r="A2" s="49" t="s">
        <v>66</v>
      </c>
      <c r="B2" s="49" t="s">
        <v>62</v>
      </c>
      <c r="C2" s="46">
        <v>103697.63</v>
      </c>
      <c r="D2" s="49" t="s">
        <v>53</v>
      </c>
      <c r="E2" s="49" t="s">
        <v>0</v>
      </c>
      <c r="F2" s="49" t="s">
        <v>54</v>
      </c>
      <c r="G2" s="45">
        <v>2005</v>
      </c>
      <c r="H2" s="45">
        <v>1961</v>
      </c>
    </row>
    <row r="3" spans="1:8" x14ac:dyDescent="0.25">
      <c r="A3" s="49" t="s">
        <v>55</v>
      </c>
      <c r="B3" s="49" t="s">
        <v>23</v>
      </c>
      <c r="C3" s="46">
        <v>1504221.72</v>
      </c>
      <c r="D3" s="49" t="s">
        <v>53</v>
      </c>
      <c r="E3" s="49" t="s">
        <v>0</v>
      </c>
    </row>
    <row r="4" spans="1:8" x14ac:dyDescent="0.25">
      <c r="A4" s="49" t="s">
        <v>56</v>
      </c>
      <c r="B4" s="49" t="s">
        <v>56</v>
      </c>
      <c r="C4" s="46">
        <v>313421.52</v>
      </c>
      <c r="D4" s="49" t="s">
        <v>53</v>
      </c>
      <c r="E4" s="49" t="s">
        <v>0</v>
      </c>
    </row>
    <row r="5" spans="1:8" x14ac:dyDescent="0.25">
      <c r="A5" s="49" t="s">
        <v>57</v>
      </c>
      <c r="B5" s="49" t="s">
        <v>49</v>
      </c>
      <c r="C5" s="46">
        <v>2069090.01</v>
      </c>
      <c r="D5" s="49" t="s">
        <v>53</v>
      </c>
      <c r="E5" s="49" t="s">
        <v>0</v>
      </c>
    </row>
    <row r="6" spans="1:8" x14ac:dyDescent="0.25">
      <c r="A6" s="49" t="s">
        <v>58</v>
      </c>
      <c r="B6" s="49" t="s">
        <v>22</v>
      </c>
      <c r="C6" s="46">
        <v>0</v>
      </c>
      <c r="D6" s="49" t="s">
        <v>53</v>
      </c>
      <c r="E6" s="49" t="s">
        <v>0</v>
      </c>
    </row>
    <row r="7" spans="1:8" x14ac:dyDescent="0.25">
      <c r="A7" s="49" t="s">
        <v>65</v>
      </c>
      <c r="B7" s="49" t="s">
        <v>63</v>
      </c>
      <c r="C7" s="46">
        <v>0</v>
      </c>
      <c r="D7" s="49" t="s">
        <v>68</v>
      </c>
      <c r="E7" s="49" t="s">
        <v>0</v>
      </c>
    </row>
    <row r="8" spans="1:8" ht="15" customHeight="1" x14ac:dyDescent="0.25">
      <c r="A8" s="49" t="s">
        <v>67</v>
      </c>
      <c r="B8" s="49" t="s">
        <v>64</v>
      </c>
      <c r="C8" s="46">
        <v>0</v>
      </c>
      <c r="D8" s="49" t="s">
        <v>69</v>
      </c>
      <c r="E8" s="49" t="s">
        <v>0</v>
      </c>
    </row>
  </sheetData>
  <autoFilter ref="A1:H1"/>
  <sortState ref="A2:I7">
    <sortCondition ref="A2:A7"/>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59"/>
  <sheetViews>
    <sheetView zoomScale="190" zoomScaleNormal="190" workbookViewId="0">
      <selection activeCell="F12" sqref="F12"/>
    </sheetView>
  </sheetViews>
  <sheetFormatPr defaultRowHeight="15" x14ac:dyDescent="0.25"/>
  <cols>
    <col min="1" max="1" width="7.7109375" style="28" bestFit="1" customWidth="1"/>
    <col min="2" max="2" width="6.140625" style="28" bestFit="1" customWidth="1"/>
    <col min="3" max="3" width="12.28515625" style="28" bestFit="1" customWidth="1"/>
    <col min="4" max="4" width="11.42578125" style="28" customWidth="1"/>
    <col min="5" max="6" width="14.28515625" style="29" bestFit="1" customWidth="1"/>
    <col min="7" max="7" width="14.7109375" style="29" bestFit="1" customWidth="1"/>
    <col min="8" max="8" width="14.7109375" style="29" customWidth="1"/>
    <col min="9" max="9" width="12.5703125" style="30" bestFit="1" customWidth="1"/>
    <col min="10" max="10" width="12" style="29" bestFit="1" customWidth="1"/>
    <col min="11" max="11" width="14.28515625" style="29" customWidth="1"/>
    <col min="12" max="16384" width="9.140625" style="2"/>
  </cols>
  <sheetData>
    <row r="1" spans="1:11" ht="60" x14ac:dyDescent="0.25">
      <c r="A1" s="23" t="s">
        <v>2</v>
      </c>
      <c r="B1" s="23" t="s">
        <v>4</v>
      </c>
      <c r="C1" s="23" t="s">
        <v>16</v>
      </c>
      <c r="D1" s="23" t="s">
        <v>14</v>
      </c>
      <c r="E1" s="23" t="s">
        <v>8</v>
      </c>
      <c r="F1" s="23" t="s">
        <v>15</v>
      </c>
      <c r="G1" s="23" t="s">
        <v>9</v>
      </c>
      <c r="H1" s="23" t="s">
        <v>13</v>
      </c>
      <c r="I1" s="23" t="s">
        <v>17</v>
      </c>
      <c r="J1" s="23" t="s">
        <v>11</v>
      </c>
      <c r="K1" s="23" t="s">
        <v>10</v>
      </c>
    </row>
    <row r="2" spans="1:11" x14ac:dyDescent="0.25">
      <c r="A2" s="23">
        <v>2024</v>
      </c>
      <c r="B2" s="23">
        <v>63</v>
      </c>
      <c r="C2" s="15">
        <v>103697.63</v>
      </c>
      <c r="D2" s="15">
        <v>4223.9799999999996</v>
      </c>
      <c r="E2" s="31" t="e">
        <f>SUM(#REF!)</f>
        <v>#REF!</v>
      </c>
      <c r="F2" s="32">
        <v>0</v>
      </c>
      <c r="G2" s="31" t="e">
        <f>#REF!</f>
        <v>#REF!</v>
      </c>
      <c r="H2" s="33">
        <v>0</v>
      </c>
      <c r="I2" s="33">
        <v>0</v>
      </c>
      <c r="J2" s="32" t="s">
        <v>12</v>
      </c>
      <c r="K2" s="34">
        <v>0.04</v>
      </c>
    </row>
    <row r="3" spans="1:11" x14ac:dyDescent="0.25">
      <c r="A3" s="25">
        <v>2025</v>
      </c>
      <c r="B3" s="26">
        <v>64</v>
      </c>
      <c r="C3" s="27">
        <v>0</v>
      </c>
      <c r="D3" s="27">
        <v>0</v>
      </c>
      <c r="E3" s="24" t="e">
        <f t="shared" ref="E3:E34" si="0">E2*(1+$K$2)-F3-K3</f>
        <v>#REF!</v>
      </c>
      <c r="F3" s="32">
        <v>0</v>
      </c>
      <c r="G3" s="24" t="e">
        <f t="shared" ref="G3:G34" si="1">G2*(1+$K$2)+F3-H2</f>
        <v>#REF!</v>
      </c>
      <c r="H3" s="30" t="e">
        <f t="shared" ref="H3:H34" si="2">G3*($K$2-1%)</f>
        <v>#REF!</v>
      </c>
      <c r="I3" s="35" t="e">
        <f>SUM(D3+F3+H3)</f>
        <v>#REF!</v>
      </c>
      <c r="J3" s="27">
        <v>0</v>
      </c>
      <c r="K3" s="27">
        <v>50000</v>
      </c>
    </row>
    <row r="4" spans="1:11" x14ac:dyDescent="0.25">
      <c r="A4" s="25">
        <v>2026</v>
      </c>
      <c r="B4" s="26">
        <v>65</v>
      </c>
      <c r="C4" s="27">
        <v>0</v>
      </c>
      <c r="D4" s="27">
        <v>0</v>
      </c>
      <c r="E4" s="24" t="e">
        <f t="shared" si="0"/>
        <v>#REF!</v>
      </c>
      <c r="F4" s="32">
        <v>0</v>
      </c>
      <c r="G4" s="24" t="e">
        <f t="shared" si="1"/>
        <v>#REF!</v>
      </c>
      <c r="H4" s="30" t="e">
        <f t="shared" si="2"/>
        <v>#REF!</v>
      </c>
      <c r="I4" s="35" t="e">
        <f t="shared" ref="I4:I11" si="3">SUM(D4+F4+H4)</f>
        <v>#REF!</v>
      </c>
      <c r="J4" s="27">
        <f t="shared" ref="J4:J11" si="4">J3*(1+$K$2)+K4</f>
        <v>100000</v>
      </c>
      <c r="K4" s="27">
        <v>100000</v>
      </c>
    </row>
    <row r="5" spans="1:11" x14ac:dyDescent="0.25">
      <c r="A5" s="25">
        <v>2027</v>
      </c>
      <c r="B5" s="26">
        <v>66</v>
      </c>
      <c r="C5" s="27">
        <v>0</v>
      </c>
      <c r="D5" s="27">
        <v>0</v>
      </c>
      <c r="E5" s="24" t="e">
        <f t="shared" si="0"/>
        <v>#REF!</v>
      </c>
      <c r="F5" s="32">
        <v>0</v>
      </c>
      <c r="G5" s="24" t="e">
        <f t="shared" si="1"/>
        <v>#REF!</v>
      </c>
      <c r="H5" s="30" t="e">
        <f t="shared" si="2"/>
        <v>#REF!</v>
      </c>
      <c r="I5" s="35" t="e">
        <f t="shared" si="3"/>
        <v>#REF!</v>
      </c>
      <c r="J5" s="27">
        <f t="shared" si="4"/>
        <v>204000</v>
      </c>
      <c r="K5" s="27">
        <v>100000</v>
      </c>
    </row>
    <row r="6" spans="1:11" x14ac:dyDescent="0.25">
      <c r="A6" s="25">
        <v>2028</v>
      </c>
      <c r="B6" s="26">
        <v>67</v>
      </c>
      <c r="C6" s="27">
        <v>0</v>
      </c>
      <c r="D6" s="27">
        <v>0</v>
      </c>
      <c r="E6" s="24" t="e">
        <f t="shared" si="0"/>
        <v>#REF!</v>
      </c>
      <c r="F6" s="32">
        <v>0</v>
      </c>
      <c r="G6" s="24" t="e">
        <f t="shared" si="1"/>
        <v>#REF!</v>
      </c>
      <c r="H6" s="30" t="e">
        <f t="shared" si="2"/>
        <v>#REF!</v>
      </c>
      <c r="I6" s="35" t="e">
        <f t="shared" si="3"/>
        <v>#REF!</v>
      </c>
      <c r="J6" s="27">
        <f t="shared" si="4"/>
        <v>312160</v>
      </c>
      <c r="K6" s="27">
        <v>100000</v>
      </c>
    </row>
    <row r="7" spans="1:11" x14ac:dyDescent="0.25">
      <c r="A7" s="25">
        <v>2029</v>
      </c>
      <c r="B7" s="26">
        <v>68</v>
      </c>
      <c r="C7" s="27">
        <v>0</v>
      </c>
      <c r="D7" s="27">
        <v>0</v>
      </c>
      <c r="E7" s="24" t="e">
        <f t="shared" si="0"/>
        <v>#REF!</v>
      </c>
      <c r="F7" s="32">
        <v>0</v>
      </c>
      <c r="G7" s="24" t="e">
        <f t="shared" si="1"/>
        <v>#REF!</v>
      </c>
      <c r="H7" s="30" t="e">
        <f t="shared" si="2"/>
        <v>#REF!</v>
      </c>
      <c r="I7" s="35" t="e">
        <f t="shared" si="3"/>
        <v>#REF!</v>
      </c>
      <c r="J7" s="27">
        <f t="shared" si="4"/>
        <v>424646.40000000002</v>
      </c>
      <c r="K7" s="27">
        <v>100000</v>
      </c>
    </row>
    <row r="8" spans="1:11" x14ac:dyDescent="0.25">
      <c r="A8" s="25">
        <v>2030</v>
      </c>
      <c r="B8" s="26">
        <v>69</v>
      </c>
      <c r="C8" s="27">
        <v>0</v>
      </c>
      <c r="D8" s="27">
        <v>0</v>
      </c>
      <c r="E8" s="24" t="e">
        <f t="shared" si="0"/>
        <v>#REF!</v>
      </c>
      <c r="F8" s="32">
        <v>0</v>
      </c>
      <c r="G8" s="24" t="e">
        <f t="shared" si="1"/>
        <v>#REF!</v>
      </c>
      <c r="H8" s="30" t="e">
        <f t="shared" si="2"/>
        <v>#REF!</v>
      </c>
      <c r="I8" s="35" t="e">
        <f t="shared" si="3"/>
        <v>#REF!</v>
      </c>
      <c r="J8" s="27">
        <f t="shared" si="4"/>
        <v>441632.25600000005</v>
      </c>
      <c r="K8" s="27">
        <v>0</v>
      </c>
    </row>
    <row r="9" spans="1:11" x14ac:dyDescent="0.25">
      <c r="A9" s="25">
        <v>2031</v>
      </c>
      <c r="B9" s="26">
        <v>70</v>
      </c>
      <c r="C9" s="27">
        <v>0</v>
      </c>
      <c r="D9" s="27">
        <v>0</v>
      </c>
      <c r="E9" s="24" t="e">
        <f t="shared" si="0"/>
        <v>#REF!</v>
      </c>
      <c r="F9" s="32">
        <v>0</v>
      </c>
      <c r="G9" s="24" t="e">
        <f t="shared" si="1"/>
        <v>#REF!</v>
      </c>
      <c r="H9" s="30" t="e">
        <f t="shared" si="2"/>
        <v>#REF!</v>
      </c>
      <c r="I9" s="35" t="e">
        <f t="shared" si="3"/>
        <v>#REF!</v>
      </c>
      <c r="J9" s="27">
        <f t="shared" si="4"/>
        <v>459297.54624000005</v>
      </c>
      <c r="K9" s="27">
        <v>0</v>
      </c>
    </row>
    <row r="10" spans="1:11" x14ac:dyDescent="0.25">
      <c r="A10" s="25">
        <v>2032</v>
      </c>
      <c r="B10" s="26">
        <v>71</v>
      </c>
      <c r="C10" s="27">
        <v>0</v>
      </c>
      <c r="D10" s="27">
        <v>0</v>
      </c>
      <c r="E10" s="24" t="e">
        <f t="shared" si="0"/>
        <v>#REF!</v>
      </c>
      <c r="F10" s="32">
        <v>0</v>
      </c>
      <c r="G10" s="24" t="e">
        <f t="shared" si="1"/>
        <v>#REF!</v>
      </c>
      <c r="H10" s="30" t="e">
        <f t="shared" si="2"/>
        <v>#REF!</v>
      </c>
      <c r="I10" s="35" t="e">
        <f t="shared" si="3"/>
        <v>#REF!</v>
      </c>
      <c r="J10" s="27">
        <f t="shared" si="4"/>
        <v>477669.44808960008</v>
      </c>
      <c r="K10" s="27">
        <v>0</v>
      </c>
    </row>
    <row r="11" spans="1:11" s="22" customFormat="1" x14ac:dyDescent="0.25">
      <c r="A11" s="25">
        <v>2033</v>
      </c>
      <c r="B11" s="26">
        <v>72</v>
      </c>
      <c r="C11" s="27">
        <v>0</v>
      </c>
      <c r="D11" s="27">
        <v>0</v>
      </c>
      <c r="E11" s="24" t="e">
        <f t="shared" si="0"/>
        <v>#REF!</v>
      </c>
      <c r="F11" s="32">
        <v>0</v>
      </c>
      <c r="G11" s="24" t="e">
        <f t="shared" si="1"/>
        <v>#REF!</v>
      </c>
      <c r="H11" s="30" t="e">
        <f t="shared" si="2"/>
        <v>#REF!</v>
      </c>
      <c r="I11" s="35" t="e">
        <f t="shared" si="3"/>
        <v>#REF!</v>
      </c>
      <c r="J11" s="27">
        <f t="shared" si="4"/>
        <v>496776.22601318412</v>
      </c>
      <c r="K11" s="27">
        <v>0</v>
      </c>
    </row>
    <row r="12" spans="1:11" x14ac:dyDescent="0.25">
      <c r="A12" s="25">
        <v>2034</v>
      </c>
      <c r="B12" s="26">
        <v>73</v>
      </c>
      <c r="C12" s="26"/>
      <c r="D12" s="26"/>
      <c r="E12" s="24" t="e">
        <f t="shared" si="0"/>
        <v>#REF!</v>
      </c>
      <c r="F12" s="24" t="e">
        <f>E11/VLOOKUP(A12,'RMD Table'!$A:$E,3,FALSE)</f>
        <v>#REF!</v>
      </c>
      <c r="G12" s="24" t="e">
        <f t="shared" si="1"/>
        <v>#REF!</v>
      </c>
      <c r="H12" s="30" t="e">
        <f t="shared" si="2"/>
        <v>#REF!</v>
      </c>
      <c r="I12" s="35" t="e">
        <f>SUM(D12+F12+H12)</f>
        <v>#REF!</v>
      </c>
      <c r="J12" s="24"/>
      <c r="K12" s="24"/>
    </row>
    <row r="13" spans="1:11" x14ac:dyDescent="0.25">
      <c r="A13" s="25">
        <v>2035</v>
      </c>
      <c r="B13" s="26">
        <v>74</v>
      </c>
      <c r="C13" s="26"/>
      <c r="D13" s="26"/>
      <c r="E13" s="24" t="e">
        <f t="shared" si="0"/>
        <v>#REF!</v>
      </c>
      <c r="F13" s="24" t="e">
        <f>E12/VLOOKUP(A13,'RMD Table'!$A:$E,3,FALSE)</f>
        <v>#REF!</v>
      </c>
      <c r="G13" s="24" t="e">
        <f t="shared" si="1"/>
        <v>#REF!</v>
      </c>
      <c r="H13" s="30" t="e">
        <f t="shared" si="2"/>
        <v>#REF!</v>
      </c>
      <c r="I13" s="35" t="e">
        <f t="shared" ref="I13:I59" si="5">SUM(D13+F13+H13)</f>
        <v>#REF!</v>
      </c>
      <c r="J13" s="24"/>
      <c r="K13" s="24"/>
    </row>
    <row r="14" spans="1:11" x14ac:dyDescent="0.25">
      <c r="A14" s="25">
        <v>2036</v>
      </c>
      <c r="B14" s="26">
        <v>75</v>
      </c>
      <c r="C14" s="26"/>
      <c r="D14" s="26"/>
      <c r="E14" s="24" t="e">
        <f t="shared" si="0"/>
        <v>#REF!</v>
      </c>
      <c r="F14" s="24" t="e">
        <f>E13/VLOOKUP(A14,'RMD Table'!$A:$E,3,FALSE)</f>
        <v>#REF!</v>
      </c>
      <c r="G14" s="24" t="e">
        <f t="shared" si="1"/>
        <v>#REF!</v>
      </c>
      <c r="H14" s="30" t="e">
        <f t="shared" si="2"/>
        <v>#REF!</v>
      </c>
      <c r="I14" s="35" t="e">
        <f t="shared" si="5"/>
        <v>#REF!</v>
      </c>
      <c r="J14" s="24"/>
      <c r="K14" s="24"/>
    </row>
    <row r="15" spans="1:11" x14ac:dyDescent="0.25">
      <c r="A15" s="25">
        <v>2037</v>
      </c>
      <c r="B15" s="26">
        <v>76</v>
      </c>
      <c r="C15" s="26"/>
      <c r="D15" s="26"/>
      <c r="E15" s="24" t="e">
        <f t="shared" si="0"/>
        <v>#REF!</v>
      </c>
      <c r="F15" s="24" t="e">
        <f>E14/VLOOKUP(A15,'RMD Table'!$A:$E,3,FALSE)</f>
        <v>#REF!</v>
      </c>
      <c r="G15" s="24" t="e">
        <f t="shared" si="1"/>
        <v>#REF!</v>
      </c>
      <c r="H15" s="30" t="e">
        <f t="shared" si="2"/>
        <v>#REF!</v>
      </c>
      <c r="I15" s="35" t="e">
        <f t="shared" si="5"/>
        <v>#REF!</v>
      </c>
      <c r="J15" s="24"/>
      <c r="K15" s="24"/>
    </row>
    <row r="16" spans="1:11" x14ac:dyDescent="0.25">
      <c r="A16" s="25">
        <v>2038</v>
      </c>
      <c r="B16" s="26">
        <v>77</v>
      </c>
      <c r="C16" s="26"/>
      <c r="D16" s="26"/>
      <c r="E16" s="24" t="e">
        <f t="shared" si="0"/>
        <v>#REF!</v>
      </c>
      <c r="F16" s="24" t="e">
        <f>E15/VLOOKUP(A16,'RMD Table'!$A:$E,3,FALSE)</f>
        <v>#REF!</v>
      </c>
      <c r="G16" s="24" t="e">
        <f t="shared" si="1"/>
        <v>#REF!</v>
      </c>
      <c r="H16" s="30" t="e">
        <f t="shared" si="2"/>
        <v>#REF!</v>
      </c>
      <c r="I16" s="35" t="e">
        <f t="shared" si="5"/>
        <v>#REF!</v>
      </c>
      <c r="J16" s="24"/>
      <c r="K16" s="24"/>
    </row>
    <row r="17" spans="1:11" x14ac:dyDescent="0.25">
      <c r="A17" s="25">
        <v>2039</v>
      </c>
      <c r="B17" s="26">
        <v>78</v>
      </c>
      <c r="C17" s="26"/>
      <c r="D17" s="26"/>
      <c r="E17" s="24" t="e">
        <f t="shared" si="0"/>
        <v>#REF!</v>
      </c>
      <c r="F17" s="24" t="e">
        <f>E16/VLOOKUP(A17,'RMD Table'!$A:$E,3,FALSE)</f>
        <v>#REF!</v>
      </c>
      <c r="G17" s="24" t="e">
        <f t="shared" si="1"/>
        <v>#REF!</v>
      </c>
      <c r="H17" s="30" t="e">
        <f t="shared" si="2"/>
        <v>#REF!</v>
      </c>
      <c r="I17" s="35" t="e">
        <f t="shared" si="5"/>
        <v>#REF!</v>
      </c>
      <c r="J17" s="24"/>
      <c r="K17" s="24"/>
    </row>
    <row r="18" spans="1:11" x14ac:dyDescent="0.25">
      <c r="A18" s="25">
        <v>2040</v>
      </c>
      <c r="B18" s="26">
        <v>79</v>
      </c>
      <c r="C18" s="26"/>
      <c r="D18" s="26"/>
      <c r="E18" s="24" t="e">
        <f t="shared" si="0"/>
        <v>#REF!</v>
      </c>
      <c r="F18" s="24" t="e">
        <f>E17/VLOOKUP(A18,'RMD Table'!$A:$E,3,FALSE)</f>
        <v>#REF!</v>
      </c>
      <c r="G18" s="24" t="e">
        <f t="shared" si="1"/>
        <v>#REF!</v>
      </c>
      <c r="H18" s="30" t="e">
        <f t="shared" si="2"/>
        <v>#REF!</v>
      </c>
      <c r="I18" s="35" t="e">
        <f t="shared" si="5"/>
        <v>#REF!</v>
      </c>
      <c r="J18" s="24"/>
      <c r="K18" s="24"/>
    </row>
    <row r="19" spans="1:11" x14ac:dyDescent="0.25">
      <c r="A19" s="25">
        <v>2041</v>
      </c>
      <c r="B19" s="26">
        <v>80</v>
      </c>
      <c r="C19" s="26"/>
      <c r="D19" s="26"/>
      <c r="E19" s="24" t="e">
        <f t="shared" si="0"/>
        <v>#REF!</v>
      </c>
      <c r="F19" s="24" t="e">
        <f>E18/VLOOKUP(A19,'RMD Table'!$A:$E,3,FALSE)</f>
        <v>#REF!</v>
      </c>
      <c r="G19" s="24" t="e">
        <f t="shared" si="1"/>
        <v>#REF!</v>
      </c>
      <c r="H19" s="30" t="e">
        <f t="shared" si="2"/>
        <v>#REF!</v>
      </c>
      <c r="I19" s="35" t="e">
        <f t="shared" si="5"/>
        <v>#REF!</v>
      </c>
      <c r="J19" s="24"/>
      <c r="K19" s="24"/>
    </row>
    <row r="20" spans="1:11" x14ac:dyDescent="0.25">
      <c r="A20" s="25">
        <v>2042</v>
      </c>
      <c r="B20" s="26">
        <v>81</v>
      </c>
      <c r="C20" s="26"/>
      <c r="D20" s="26"/>
      <c r="E20" s="24" t="e">
        <f t="shared" si="0"/>
        <v>#REF!</v>
      </c>
      <c r="F20" s="24" t="e">
        <f>E19/VLOOKUP(A20,'RMD Table'!$A:$E,3,FALSE)</f>
        <v>#REF!</v>
      </c>
      <c r="G20" s="24" t="e">
        <f t="shared" si="1"/>
        <v>#REF!</v>
      </c>
      <c r="H20" s="30" t="e">
        <f t="shared" si="2"/>
        <v>#REF!</v>
      </c>
      <c r="I20" s="35" t="e">
        <f t="shared" si="5"/>
        <v>#REF!</v>
      </c>
      <c r="J20" s="24"/>
      <c r="K20" s="24"/>
    </row>
    <row r="21" spans="1:11" x14ac:dyDescent="0.25">
      <c r="A21" s="25">
        <v>2043</v>
      </c>
      <c r="B21" s="26">
        <v>82</v>
      </c>
      <c r="C21" s="26"/>
      <c r="D21" s="26"/>
      <c r="E21" s="24" t="e">
        <f t="shared" si="0"/>
        <v>#REF!</v>
      </c>
      <c r="F21" s="24" t="e">
        <f>E20/VLOOKUP(A21,'RMD Table'!$A:$E,3,FALSE)</f>
        <v>#REF!</v>
      </c>
      <c r="G21" s="24" t="e">
        <f t="shared" si="1"/>
        <v>#REF!</v>
      </c>
      <c r="H21" s="30" t="e">
        <f t="shared" si="2"/>
        <v>#REF!</v>
      </c>
      <c r="I21" s="35" t="e">
        <f t="shared" si="5"/>
        <v>#REF!</v>
      </c>
      <c r="J21" s="24"/>
      <c r="K21" s="24"/>
    </row>
    <row r="22" spans="1:11" x14ac:dyDescent="0.25">
      <c r="A22" s="25">
        <v>2044</v>
      </c>
      <c r="B22" s="26">
        <v>83</v>
      </c>
      <c r="C22" s="26"/>
      <c r="D22" s="26"/>
      <c r="E22" s="24" t="e">
        <f t="shared" si="0"/>
        <v>#REF!</v>
      </c>
      <c r="F22" s="24" t="e">
        <f>E21/VLOOKUP(A22,'RMD Table'!$A:$E,3,FALSE)</f>
        <v>#REF!</v>
      </c>
      <c r="G22" s="24" t="e">
        <f t="shared" si="1"/>
        <v>#REF!</v>
      </c>
      <c r="H22" s="30" t="e">
        <f t="shared" si="2"/>
        <v>#REF!</v>
      </c>
      <c r="I22" s="35" t="e">
        <f t="shared" si="5"/>
        <v>#REF!</v>
      </c>
      <c r="J22" s="24"/>
      <c r="K22" s="24"/>
    </row>
    <row r="23" spans="1:11" x14ac:dyDescent="0.25">
      <c r="A23" s="25">
        <v>2045</v>
      </c>
      <c r="B23" s="26">
        <v>84</v>
      </c>
      <c r="C23" s="26"/>
      <c r="D23" s="26"/>
      <c r="E23" s="24" t="e">
        <f t="shared" si="0"/>
        <v>#REF!</v>
      </c>
      <c r="F23" s="24" t="e">
        <f>E22/VLOOKUP(A23,'RMD Table'!$A:$E,3,FALSE)</f>
        <v>#REF!</v>
      </c>
      <c r="G23" s="24" t="e">
        <f t="shared" si="1"/>
        <v>#REF!</v>
      </c>
      <c r="H23" s="30" t="e">
        <f t="shared" si="2"/>
        <v>#REF!</v>
      </c>
      <c r="I23" s="35" t="e">
        <f t="shared" si="5"/>
        <v>#REF!</v>
      </c>
      <c r="J23" s="24"/>
      <c r="K23" s="24"/>
    </row>
    <row r="24" spans="1:11" x14ac:dyDescent="0.25">
      <c r="A24" s="25">
        <v>2046</v>
      </c>
      <c r="B24" s="26">
        <v>85</v>
      </c>
      <c r="C24" s="26"/>
      <c r="D24" s="26"/>
      <c r="E24" s="24" t="e">
        <f t="shared" si="0"/>
        <v>#REF!</v>
      </c>
      <c r="F24" s="24" t="e">
        <f>E23/VLOOKUP(A24,'RMD Table'!$A:$E,3,FALSE)</f>
        <v>#REF!</v>
      </c>
      <c r="G24" s="24" t="e">
        <f t="shared" si="1"/>
        <v>#REF!</v>
      </c>
      <c r="H24" s="30" t="e">
        <f t="shared" si="2"/>
        <v>#REF!</v>
      </c>
      <c r="I24" s="35" t="e">
        <f t="shared" si="5"/>
        <v>#REF!</v>
      </c>
      <c r="J24" s="24"/>
      <c r="K24" s="24"/>
    </row>
    <row r="25" spans="1:11" x14ac:dyDescent="0.25">
      <c r="A25" s="25">
        <v>2047</v>
      </c>
      <c r="B25" s="26">
        <v>86</v>
      </c>
      <c r="C25" s="26"/>
      <c r="D25" s="26"/>
      <c r="E25" s="24" t="e">
        <f t="shared" si="0"/>
        <v>#REF!</v>
      </c>
      <c r="F25" s="24" t="e">
        <f>E24/VLOOKUP(A25,'RMD Table'!$A:$E,3,FALSE)</f>
        <v>#REF!</v>
      </c>
      <c r="G25" s="24" t="e">
        <f t="shared" si="1"/>
        <v>#REF!</v>
      </c>
      <c r="H25" s="30" t="e">
        <f t="shared" si="2"/>
        <v>#REF!</v>
      </c>
      <c r="I25" s="35" t="e">
        <f t="shared" si="5"/>
        <v>#REF!</v>
      </c>
      <c r="J25" s="24"/>
      <c r="K25" s="24"/>
    </row>
    <row r="26" spans="1:11" x14ac:dyDescent="0.25">
      <c r="A26" s="25">
        <v>2048</v>
      </c>
      <c r="B26" s="26">
        <v>87</v>
      </c>
      <c r="C26" s="26"/>
      <c r="D26" s="26"/>
      <c r="E26" s="24" t="e">
        <f t="shared" si="0"/>
        <v>#REF!</v>
      </c>
      <c r="F26" s="24" t="e">
        <f>E25/VLOOKUP(A26,'RMD Table'!$A:$E,3,FALSE)</f>
        <v>#REF!</v>
      </c>
      <c r="G26" s="24" t="e">
        <f t="shared" si="1"/>
        <v>#REF!</v>
      </c>
      <c r="H26" s="30" t="e">
        <f t="shared" si="2"/>
        <v>#REF!</v>
      </c>
      <c r="I26" s="35" t="e">
        <f t="shared" si="5"/>
        <v>#REF!</v>
      </c>
      <c r="J26" s="24"/>
      <c r="K26" s="24"/>
    </row>
    <row r="27" spans="1:11" x14ac:dyDescent="0.25">
      <c r="A27" s="25">
        <v>2049</v>
      </c>
      <c r="B27" s="26">
        <v>88</v>
      </c>
      <c r="C27" s="26"/>
      <c r="D27" s="26"/>
      <c r="E27" s="24" t="e">
        <f t="shared" si="0"/>
        <v>#REF!</v>
      </c>
      <c r="F27" s="24" t="e">
        <f>E26/VLOOKUP(A27,'RMD Table'!$A:$E,3,FALSE)</f>
        <v>#REF!</v>
      </c>
      <c r="G27" s="24" t="e">
        <f t="shared" si="1"/>
        <v>#REF!</v>
      </c>
      <c r="H27" s="30" t="e">
        <f t="shared" si="2"/>
        <v>#REF!</v>
      </c>
      <c r="I27" s="35" t="e">
        <f t="shared" si="5"/>
        <v>#REF!</v>
      </c>
      <c r="J27" s="24"/>
      <c r="K27" s="24"/>
    </row>
    <row r="28" spans="1:11" x14ac:dyDescent="0.25">
      <c r="A28" s="25">
        <v>2050</v>
      </c>
      <c r="B28" s="26">
        <v>89</v>
      </c>
      <c r="C28" s="26"/>
      <c r="D28" s="26"/>
      <c r="E28" s="24" t="e">
        <f t="shared" si="0"/>
        <v>#REF!</v>
      </c>
      <c r="F28" s="24" t="e">
        <f>E27/VLOOKUP(A28,'RMD Table'!$A:$E,3,FALSE)</f>
        <v>#REF!</v>
      </c>
      <c r="G28" s="24" t="e">
        <f t="shared" si="1"/>
        <v>#REF!</v>
      </c>
      <c r="H28" s="30" t="e">
        <f t="shared" si="2"/>
        <v>#REF!</v>
      </c>
      <c r="I28" s="35" t="e">
        <f t="shared" si="5"/>
        <v>#REF!</v>
      </c>
      <c r="J28" s="24"/>
      <c r="K28" s="24"/>
    </row>
    <row r="29" spans="1:11" x14ac:dyDescent="0.25">
      <c r="A29" s="25">
        <v>2051</v>
      </c>
      <c r="B29" s="26">
        <v>90</v>
      </c>
      <c r="C29" s="26"/>
      <c r="D29" s="26"/>
      <c r="E29" s="24" t="e">
        <f t="shared" si="0"/>
        <v>#REF!</v>
      </c>
      <c r="F29" s="24" t="e">
        <f>E28/VLOOKUP(A29,'RMD Table'!$A:$E,3,FALSE)</f>
        <v>#REF!</v>
      </c>
      <c r="G29" s="24" t="e">
        <f t="shared" si="1"/>
        <v>#REF!</v>
      </c>
      <c r="H29" s="30" t="e">
        <f t="shared" si="2"/>
        <v>#REF!</v>
      </c>
      <c r="I29" s="35" t="e">
        <f t="shared" si="5"/>
        <v>#REF!</v>
      </c>
      <c r="J29" s="24"/>
      <c r="K29" s="24"/>
    </row>
    <row r="30" spans="1:11" x14ac:dyDescent="0.25">
      <c r="A30" s="25">
        <v>2052</v>
      </c>
      <c r="B30" s="26">
        <v>91</v>
      </c>
      <c r="C30" s="26"/>
      <c r="D30" s="26"/>
      <c r="E30" s="24" t="e">
        <f t="shared" si="0"/>
        <v>#REF!</v>
      </c>
      <c r="F30" s="24" t="e">
        <f>E29/VLOOKUP(A30,'RMD Table'!$A:$E,3,FALSE)</f>
        <v>#REF!</v>
      </c>
      <c r="G30" s="24" t="e">
        <f t="shared" si="1"/>
        <v>#REF!</v>
      </c>
      <c r="H30" s="30" t="e">
        <f t="shared" si="2"/>
        <v>#REF!</v>
      </c>
      <c r="I30" s="35" t="e">
        <f t="shared" si="5"/>
        <v>#REF!</v>
      </c>
      <c r="J30" s="24"/>
      <c r="K30" s="24"/>
    </row>
    <row r="31" spans="1:11" x14ac:dyDescent="0.25">
      <c r="A31" s="25">
        <v>2053</v>
      </c>
      <c r="B31" s="26">
        <v>92</v>
      </c>
      <c r="C31" s="26"/>
      <c r="D31" s="26"/>
      <c r="E31" s="24" t="e">
        <f t="shared" si="0"/>
        <v>#REF!</v>
      </c>
      <c r="F31" s="24" t="e">
        <f>E30/VLOOKUP(A31,'RMD Table'!$A:$E,3,FALSE)</f>
        <v>#REF!</v>
      </c>
      <c r="G31" s="24" t="e">
        <f t="shared" si="1"/>
        <v>#REF!</v>
      </c>
      <c r="H31" s="30" t="e">
        <f t="shared" si="2"/>
        <v>#REF!</v>
      </c>
      <c r="I31" s="35" t="e">
        <f t="shared" si="5"/>
        <v>#REF!</v>
      </c>
      <c r="J31" s="24"/>
      <c r="K31" s="24"/>
    </row>
    <row r="32" spans="1:11" x14ac:dyDescent="0.25">
      <c r="A32" s="25">
        <v>2054</v>
      </c>
      <c r="B32" s="26">
        <v>93</v>
      </c>
      <c r="C32" s="26"/>
      <c r="D32" s="26"/>
      <c r="E32" s="24" t="e">
        <f t="shared" si="0"/>
        <v>#REF!</v>
      </c>
      <c r="F32" s="24" t="e">
        <f>E31/VLOOKUP(A32,'RMD Table'!$A:$E,3,FALSE)</f>
        <v>#REF!</v>
      </c>
      <c r="G32" s="24" t="e">
        <f t="shared" si="1"/>
        <v>#REF!</v>
      </c>
      <c r="H32" s="30" t="e">
        <f t="shared" si="2"/>
        <v>#REF!</v>
      </c>
      <c r="I32" s="35" t="e">
        <f t="shared" si="5"/>
        <v>#REF!</v>
      </c>
      <c r="J32" s="24"/>
      <c r="K32" s="24"/>
    </row>
    <row r="33" spans="1:11" x14ac:dyDescent="0.25">
      <c r="A33" s="25">
        <v>2055</v>
      </c>
      <c r="B33" s="26">
        <v>94</v>
      </c>
      <c r="C33" s="26"/>
      <c r="D33" s="26"/>
      <c r="E33" s="24" t="e">
        <f t="shared" si="0"/>
        <v>#REF!</v>
      </c>
      <c r="F33" s="24" t="e">
        <f>E32/VLOOKUP(A33,'RMD Table'!$A:$E,3,FALSE)</f>
        <v>#REF!</v>
      </c>
      <c r="G33" s="24" t="e">
        <f t="shared" si="1"/>
        <v>#REF!</v>
      </c>
      <c r="H33" s="30" t="e">
        <f t="shared" si="2"/>
        <v>#REF!</v>
      </c>
      <c r="I33" s="35" t="e">
        <f t="shared" si="5"/>
        <v>#REF!</v>
      </c>
      <c r="J33" s="24"/>
      <c r="K33" s="24"/>
    </row>
    <row r="34" spans="1:11" x14ac:dyDescent="0.25">
      <c r="A34" s="25">
        <v>2056</v>
      </c>
      <c r="B34" s="26">
        <v>95</v>
      </c>
      <c r="C34" s="26"/>
      <c r="D34" s="26"/>
      <c r="E34" s="24" t="e">
        <f t="shared" si="0"/>
        <v>#REF!</v>
      </c>
      <c r="F34" s="24" t="e">
        <f>E33/VLOOKUP(A34,'RMD Table'!$A:$E,3,FALSE)</f>
        <v>#REF!</v>
      </c>
      <c r="G34" s="24" t="e">
        <f t="shared" si="1"/>
        <v>#REF!</v>
      </c>
      <c r="H34" s="30" t="e">
        <f t="shared" si="2"/>
        <v>#REF!</v>
      </c>
      <c r="I34" s="35" t="e">
        <f t="shared" si="5"/>
        <v>#REF!</v>
      </c>
      <c r="J34" s="24"/>
      <c r="K34" s="24"/>
    </row>
    <row r="35" spans="1:11" x14ac:dyDescent="0.25">
      <c r="A35" s="25">
        <v>2057</v>
      </c>
      <c r="B35" s="26">
        <v>96</v>
      </c>
      <c r="C35" s="26"/>
      <c r="D35" s="26"/>
      <c r="E35" s="24" t="e">
        <f t="shared" ref="E35:E59" si="6">E34*(1+$K$2)-F35-K35</f>
        <v>#REF!</v>
      </c>
      <c r="F35" s="24" t="e">
        <f>E34/VLOOKUP(A35,'RMD Table'!$A:$E,3,FALSE)</f>
        <v>#REF!</v>
      </c>
      <c r="G35" s="24" t="e">
        <f t="shared" ref="G35:G59" si="7">G34*(1+$K$2)+F35-H34</f>
        <v>#REF!</v>
      </c>
      <c r="H35" s="30" t="e">
        <f t="shared" ref="H35:H59" si="8">G35*($K$2-1%)</f>
        <v>#REF!</v>
      </c>
      <c r="I35" s="35" t="e">
        <f t="shared" si="5"/>
        <v>#REF!</v>
      </c>
      <c r="J35" s="24"/>
      <c r="K35" s="24"/>
    </row>
    <row r="36" spans="1:11" x14ac:dyDescent="0.25">
      <c r="A36" s="25">
        <v>2058</v>
      </c>
      <c r="B36" s="26">
        <v>97</v>
      </c>
      <c r="C36" s="26"/>
      <c r="D36" s="26"/>
      <c r="E36" s="24" t="e">
        <f t="shared" si="6"/>
        <v>#REF!</v>
      </c>
      <c r="F36" s="24" t="e">
        <f>E35/VLOOKUP(A36,'RMD Table'!$A:$E,3,FALSE)</f>
        <v>#REF!</v>
      </c>
      <c r="G36" s="24" t="e">
        <f t="shared" si="7"/>
        <v>#REF!</v>
      </c>
      <c r="H36" s="30" t="e">
        <f t="shared" si="8"/>
        <v>#REF!</v>
      </c>
      <c r="I36" s="35" t="e">
        <f t="shared" si="5"/>
        <v>#REF!</v>
      </c>
      <c r="J36" s="24"/>
      <c r="K36" s="24"/>
    </row>
    <row r="37" spans="1:11" x14ac:dyDescent="0.25">
      <c r="A37" s="25">
        <v>2059</v>
      </c>
      <c r="B37" s="26">
        <v>98</v>
      </c>
      <c r="C37" s="26"/>
      <c r="D37" s="26"/>
      <c r="E37" s="24" t="e">
        <f t="shared" si="6"/>
        <v>#REF!</v>
      </c>
      <c r="F37" s="24" t="e">
        <f>E36/VLOOKUP(A37,'RMD Table'!$A:$E,3,FALSE)</f>
        <v>#REF!</v>
      </c>
      <c r="G37" s="24" t="e">
        <f t="shared" si="7"/>
        <v>#REF!</v>
      </c>
      <c r="H37" s="30" t="e">
        <f t="shared" si="8"/>
        <v>#REF!</v>
      </c>
      <c r="I37" s="35" t="e">
        <f t="shared" si="5"/>
        <v>#REF!</v>
      </c>
      <c r="J37" s="24"/>
      <c r="K37" s="24"/>
    </row>
    <row r="38" spans="1:11" x14ac:dyDescent="0.25">
      <c r="A38" s="25">
        <v>2060</v>
      </c>
      <c r="B38" s="26">
        <v>99</v>
      </c>
      <c r="C38" s="26"/>
      <c r="D38" s="26"/>
      <c r="E38" s="24" t="e">
        <f t="shared" si="6"/>
        <v>#REF!</v>
      </c>
      <c r="F38" s="24" t="e">
        <f>E37/VLOOKUP(A38,'RMD Table'!$A:$E,3,FALSE)</f>
        <v>#REF!</v>
      </c>
      <c r="G38" s="24" t="e">
        <f t="shared" si="7"/>
        <v>#REF!</v>
      </c>
      <c r="H38" s="30" t="e">
        <f t="shared" si="8"/>
        <v>#REF!</v>
      </c>
      <c r="I38" s="35" t="e">
        <f t="shared" si="5"/>
        <v>#REF!</v>
      </c>
      <c r="J38" s="24"/>
      <c r="K38" s="24"/>
    </row>
    <row r="39" spans="1:11" x14ac:dyDescent="0.25">
      <c r="A39" s="25">
        <v>2061</v>
      </c>
      <c r="B39" s="26">
        <v>100</v>
      </c>
      <c r="C39" s="26"/>
      <c r="D39" s="26"/>
      <c r="E39" s="24" t="e">
        <f t="shared" si="6"/>
        <v>#REF!</v>
      </c>
      <c r="F39" s="24" t="e">
        <f>E38/VLOOKUP(A39,'RMD Table'!$A:$E,3,FALSE)</f>
        <v>#REF!</v>
      </c>
      <c r="G39" s="24" t="e">
        <f t="shared" si="7"/>
        <v>#REF!</v>
      </c>
      <c r="H39" s="30" t="e">
        <f t="shared" si="8"/>
        <v>#REF!</v>
      </c>
      <c r="I39" s="35" t="e">
        <f t="shared" si="5"/>
        <v>#REF!</v>
      </c>
      <c r="J39" s="24"/>
      <c r="K39" s="24"/>
    </row>
    <row r="40" spans="1:11" x14ac:dyDescent="0.25">
      <c r="A40" s="25">
        <v>2062</v>
      </c>
      <c r="B40" s="26">
        <v>101</v>
      </c>
      <c r="C40" s="26"/>
      <c r="D40" s="26"/>
      <c r="E40" s="24" t="e">
        <f t="shared" si="6"/>
        <v>#REF!</v>
      </c>
      <c r="F40" s="24" t="e">
        <f>E39/VLOOKUP(A40,'RMD Table'!$A:$E,3,FALSE)</f>
        <v>#REF!</v>
      </c>
      <c r="G40" s="24" t="e">
        <f t="shared" si="7"/>
        <v>#REF!</v>
      </c>
      <c r="H40" s="30" t="e">
        <f t="shared" si="8"/>
        <v>#REF!</v>
      </c>
      <c r="I40" s="35" t="e">
        <f t="shared" si="5"/>
        <v>#REF!</v>
      </c>
      <c r="J40" s="24"/>
      <c r="K40" s="24"/>
    </row>
    <row r="41" spans="1:11" x14ac:dyDescent="0.25">
      <c r="A41" s="25">
        <v>2063</v>
      </c>
      <c r="B41" s="26">
        <v>102</v>
      </c>
      <c r="C41" s="26"/>
      <c r="D41" s="26"/>
      <c r="E41" s="24" t="e">
        <f t="shared" si="6"/>
        <v>#REF!</v>
      </c>
      <c r="F41" s="24" t="e">
        <f>E40/VLOOKUP(A41,'RMD Table'!$A:$E,3,FALSE)</f>
        <v>#REF!</v>
      </c>
      <c r="G41" s="24" t="e">
        <f t="shared" si="7"/>
        <v>#REF!</v>
      </c>
      <c r="H41" s="30" t="e">
        <f t="shared" si="8"/>
        <v>#REF!</v>
      </c>
      <c r="I41" s="35" t="e">
        <f t="shared" si="5"/>
        <v>#REF!</v>
      </c>
      <c r="J41" s="24"/>
      <c r="K41" s="24"/>
    </row>
    <row r="42" spans="1:11" x14ac:dyDescent="0.25">
      <c r="A42" s="25">
        <v>2064</v>
      </c>
      <c r="B42" s="26">
        <v>103</v>
      </c>
      <c r="C42" s="26"/>
      <c r="D42" s="26"/>
      <c r="E42" s="24" t="e">
        <f t="shared" si="6"/>
        <v>#REF!</v>
      </c>
      <c r="F42" s="24" t="e">
        <f>E41/VLOOKUP(A42,'RMD Table'!$A:$E,3,FALSE)</f>
        <v>#REF!</v>
      </c>
      <c r="G42" s="24" t="e">
        <f t="shared" si="7"/>
        <v>#REF!</v>
      </c>
      <c r="H42" s="30" t="e">
        <f t="shared" si="8"/>
        <v>#REF!</v>
      </c>
      <c r="I42" s="35" t="e">
        <f t="shared" si="5"/>
        <v>#REF!</v>
      </c>
      <c r="J42" s="24"/>
      <c r="K42" s="24"/>
    </row>
    <row r="43" spans="1:11" x14ac:dyDescent="0.25">
      <c r="A43" s="25">
        <v>2065</v>
      </c>
      <c r="B43" s="26">
        <v>104</v>
      </c>
      <c r="C43" s="26"/>
      <c r="D43" s="26"/>
      <c r="E43" s="24" t="e">
        <f t="shared" si="6"/>
        <v>#REF!</v>
      </c>
      <c r="F43" s="24" t="e">
        <f>E42/VLOOKUP(A43,'RMD Table'!$A:$E,3,FALSE)</f>
        <v>#REF!</v>
      </c>
      <c r="G43" s="24" t="e">
        <f t="shared" si="7"/>
        <v>#REF!</v>
      </c>
      <c r="H43" s="30" t="e">
        <f t="shared" si="8"/>
        <v>#REF!</v>
      </c>
      <c r="I43" s="35" t="e">
        <f t="shared" si="5"/>
        <v>#REF!</v>
      </c>
      <c r="J43" s="24"/>
      <c r="K43" s="24"/>
    </row>
    <row r="44" spans="1:11" x14ac:dyDescent="0.25">
      <c r="A44" s="25">
        <v>2066</v>
      </c>
      <c r="B44" s="26">
        <v>105</v>
      </c>
      <c r="C44" s="26"/>
      <c r="D44" s="26"/>
      <c r="E44" s="24" t="e">
        <f t="shared" si="6"/>
        <v>#REF!</v>
      </c>
      <c r="F44" s="24" t="e">
        <f>E43/VLOOKUP(A44,'RMD Table'!$A:$E,3,FALSE)</f>
        <v>#REF!</v>
      </c>
      <c r="G44" s="24" t="e">
        <f t="shared" si="7"/>
        <v>#REF!</v>
      </c>
      <c r="H44" s="30" t="e">
        <f t="shared" si="8"/>
        <v>#REF!</v>
      </c>
      <c r="I44" s="35" t="e">
        <f t="shared" si="5"/>
        <v>#REF!</v>
      </c>
      <c r="J44" s="24"/>
      <c r="K44" s="24"/>
    </row>
    <row r="45" spans="1:11" x14ac:dyDescent="0.25">
      <c r="A45" s="25">
        <v>2067</v>
      </c>
      <c r="B45" s="26">
        <v>106</v>
      </c>
      <c r="C45" s="26"/>
      <c r="D45" s="26"/>
      <c r="E45" s="24" t="e">
        <f t="shared" si="6"/>
        <v>#REF!</v>
      </c>
      <c r="F45" s="24" t="e">
        <f>E44/VLOOKUP(A45,'RMD Table'!$A:$E,3,FALSE)</f>
        <v>#REF!</v>
      </c>
      <c r="G45" s="24" t="e">
        <f t="shared" si="7"/>
        <v>#REF!</v>
      </c>
      <c r="H45" s="30" t="e">
        <f t="shared" si="8"/>
        <v>#REF!</v>
      </c>
      <c r="I45" s="35" t="e">
        <f t="shared" si="5"/>
        <v>#REF!</v>
      </c>
      <c r="J45" s="24"/>
      <c r="K45" s="24"/>
    </row>
    <row r="46" spans="1:11" x14ac:dyDescent="0.25">
      <c r="A46" s="25">
        <v>2068</v>
      </c>
      <c r="B46" s="26">
        <v>107</v>
      </c>
      <c r="C46" s="26"/>
      <c r="D46" s="26"/>
      <c r="E46" s="24" t="e">
        <f t="shared" si="6"/>
        <v>#REF!</v>
      </c>
      <c r="F46" s="24" t="e">
        <f>E45/VLOOKUP(A46,'RMD Table'!$A:$E,3,FALSE)</f>
        <v>#REF!</v>
      </c>
      <c r="G46" s="24" t="e">
        <f t="shared" si="7"/>
        <v>#REF!</v>
      </c>
      <c r="H46" s="30" t="e">
        <f t="shared" si="8"/>
        <v>#REF!</v>
      </c>
      <c r="I46" s="35" t="e">
        <f t="shared" si="5"/>
        <v>#REF!</v>
      </c>
      <c r="J46" s="24"/>
      <c r="K46" s="24"/>
    </row>
    <row r="47" spans="1:11" x14ac:dyDescent="0.25">
      <c r="A47" s="25">
        <v>2069</v>
      </c>
      <c r="B47" s="26">
        <v>108</v>
      </c>
      <c r="C47" s="26"/>
      <c r="D47" s="26"/>
      <c r="E47" s="24" t="e">
        <f t="shared" si="6"/>
        <v>#REF!</v>
      </c>
      <c r="F47" s="24" t="e">
        <f>E46/VLOOKUP(A47,'RMD Table'!$A:$E,3,FALSE)</f>
        <v>#REF!</v>
      </c>
      <c r="G47" s="24" t="e">
        <f t="shared" si="7"/>
        <v>#REF!</v>
      </c>
      <c r="H47" s="30" t="e">
        <f t="shared" si="8"/>
        <v>#REF!</v>
      </c>
      <c r="I47" s="35" t="e">
        <f t="shared" si="5"/>
        <v>#REF!</v>
      </c>
      <c r="J47" s="24"/>
      <c r="K47" s="24"/>
    </row>
    <row r="48" spans="1:11" x14ac:dyDescent="0.25">
      <c r="A48" s="25">
        <v>2070</v>
      </c>
      <c r="B48" s="26">
        <v>109</v>
      </c>
      <c r="C48" s="26"/>
      <c r="D48" s="26"/>
      <c r="E48" s="24" t="e">
        <f t="shared" si="6"/>
        <v>#REF!</v>
      </c>
      <c r="F48" s="24" t="e">
        <f>E47/VLOOKUP(A48,'RMD Table'!$A:$E,3,FALSE)</f>
        <v>#REF!</v>
      </c>
      <c r="G48" s="24" t="e">
        <f t="shared" si="7"/>
        <v>#REF!</v>
      </c>
      <c r="H48" s="30" t="e">
        <f t="shared" si="8"/>
        <v>#REF!</v>
      </c>
      <c r="I48" s="35" t="e">
        <f t="shared" si="5"/>
        <v>#REF!</v>
      </c>
      <c r="J48" s="24"/>
      <c r="K48" s="24"/>
    </row>
    <row r="49" spans="1:11" x14ac:dyDescent="0.25">
      <c r="A49" s="25">
        <v>2071</v>
      </c>
      <c r="B49" s="26">
        <v>110</v>
      </c>
      <c r="C49" s="26"/>
      <c r="D49" s="26"/>
      <c r="E49" s="24" t="e">
        <f t="shared" si="6"/>
        <v>#REF!</v>
      </c>
      <c r="F49" s="24" t="e">
        <f>E48/VLOOKUP(A49,'RMD Table'!$A:$E,3,FALSE)</f>
        <v>#REF!</v>
      </c>
      <c r="G49" s="24" t="e">
        <f t="shared" si="7"/>
        <v>#REF!</v>
      </c>
      <c r="H49" s="30" t="e">
        <f t="shared" si="8"/>
        <v>#REF!</v>
      </c>
      <c r="I49" s="35" t="e">
        <f t="shared" si="5"/>
        <v>#REF!</v>
      </c>
      <c r="J49" s="24"/>
      <c r="K49" s="24"/>
    </row>
    <row r="50" spans="1:11" x14ac:dyDescent="0.25">
      <c r="A50" s="25">
        <v>2072</v>
      </c>
      <c r="B50" s="26">
        <v>111</v>
      </c>
      <c r="C50" s="26"/>
      <c r="D50" s="26"/>
      <c r="E50" s="24" t="e">
        <f t="shared" si="6"/>
        <v>#REF!</v>
      </c>
      <c r="F50" s="24" t="e">
        <f>E49/VLOOKUP(A50,'RMD Table'!$A:$E,3,FALSE)</f>
        <v>#REF!</v>
      </c>
      <c r="G50" s="24" t="e">
        <f t="shared" si="7"/>
        <v>#REF!</v>
      </c>
      <c r="H50" s="30" t="e">
        <f t="shared" si="8"/>
        <v>#REF!</v>
      </c>
      <c r="I50" s="35" t="e">
        <f t="shared" si="5"/>
        <v>#REF!</v>
      </c>
      <c r="J50" s="24"/>
      <c r="K50" s="24"/>
    </row>
    <row r="51" spans="1:11" x14ac:dyDescent="0.25">
      <c r="A51" s="25">
        <v>2073</v>
      </c>
      <c r="B51" s="26">
        <v>112</v>
      </c>
      <c r="C51" s="26"/>
      <c r="D51" s="26"/>
      <c r="E51" s="24" t="e">
        <f t="shared" si="6"/>
        <v>#REF!</v>
      </c>
      <c r="F51" s="24" t="e">
        <f>E50/VLOOKUP(A51,'RMD Table'!$A:$E,3,FALSE)</f>
        <v>#REF!</v>
      </c>
      <c r="G51" s="24" t="e">
        <f t="shared" si="7"/>
        <v>#REF!</v>
      </c>
      <c r="H51" s="30" t="e">
        <f t="shared" si="8"/>
        <v>#REF!</v>
      </c>
      <c r="I51" s="35" t="e">
        <f t="shared" si="5"/>
        <v>#REF!</v>
      </c>
      <c r="J51" s="24"/>
      <c r="K51" s="24"/>
    </row>
    <row r="52" spans="1:11" x14ac:dyDescent="0.25">
      <c r="A52" s="25">
        <v>2074</v>
      </c>
      <c r="B52" s="26">
        <v>113</v>
      </c>
      <c r="C52" s="26"/>
      <c r="D52" s="26"/>
      <c r="E52" s="24" t="e">
        <f t="shared" si="6"/>
        <v>#REF!</v>
      </c>
      <c r="F52" s="24" t="e">
        <f>E51/VLOOKUP(A52,'RMD Table'!$A:$E,3,FALSE)</f>
        <v>#REF!</v>
      </c>
      <c r="G52" s="24" t="e">
        <f t="shared" si="7"/>
        <v>#REF!</v>
      </c>
      <c r="H52" s="30" t="e">
        <f t="shared" si="8"/>
        <v>#REF!</v>
      </c>
      <c r="I52" s="35" t="e">
        <f t="shared" si="5"/>
        <v>#REF!</v>
      </c>
      <c r="J52" s="24"/>
      <c r="K52" s="24"/>
    </row>
    <row r="53" spans="1:11" x14ac:dyDescent="0.25">
      <c r="A53" s="25">
        <v>2075</v>
      </c>
      <c r="B53" s="26">
        <v>114</v>
      </c>
      <c r="C53" s="26"/>
      <c r="D53" s="26"/>
      <c r="E53" s="24" t="e">
        <f t="shared" si="6"/>
        <v>#REF!</v>
      </c>
      <c r="F53" s="24" t="e">
        <f>E52/VLOOKUP(A53,'RMD Table'!$A:$E,3,FALSE)</f>
        <v>#REF!</v>
      </c>
      <c r="G53" s="24" t="e">
        <f t="shared" si="7"/>
        <v>#REF!</v>
      </c>
      <c r="H53" s="30" t="e">
        <f t="shared" si="8"/>
        <v>#REF!</v>
      </c>
      <c r="I53" s="35" t="e">
        <f t="shared" si="5"/>
        <v>#REF!</v>
      </c>
      <c r="J53" s="24"/>
      <c r="K53" s="24"/>
    </row>
    <row r="54" spans="1:11" x14ac:dyDescent="0.25">
      <c r="A54" s="25">
        <v>2076</v>
      </c>
      <c r="B54" s="26">
        <v>115</v>
      </c>
      <c r="C54" s="26"/>
      <c r="D54" s="26"/>
      <c r="E54" s="24" t="e">
        <f t="shared" si="6"/>
        <v>#REF!</v>
      </c>
      <c r="F54" s="24" t="e">
        <f>E53/VLOOKUP(A54,'RMD Table'!$A:$E,3,FALSE)</f>
        <v>#REF!</v>
      </c>
      <c r="G54" s="24" t="e">
        <f t="shared" si="7"/>
        <v>#REF!</v>
      </c>
      <c r="H54" s="30" t="e">
        <f t="shared" si="8"/>
        <v>#REF!</v>
      </c>
      <c r="I54" s="35" t="e">
        <f t="shared" si="5"/>
        <v>#REF!</v>
      </c>
      <c r="J54" s="24"/>
      <c r="K54" s="24"/>
    </row>
    <row r="55" spans="1:11" x14ac:dyDescent="0.25">
      <c r="A55" s="25">
        <v>2077</v>
      </c>
      <c r="B55" s="26">
        <v>116</v>
      </c>
      <c r="C55" s="26"/>
      <c r="D55" s="26"/>
      <c r="E55" s="24" t="e">
        <f t="shared" si="6"/>
        <v>#REF!</v>
      </c>
      <c r="F55" s="24" t="e">
        <f>E54/VLOOKUP(A55,'RMD Table'!$A:$E,3,FALSE)</f>
        <v>#REF!</v>
      </c>
      <c r="G55" s="24" t="e">
        <f t="shared" si="7"/>
        <v>#REF!</v>
      </c>
      <c r="H55" s="30" t="e">
        <f t="shared" si="8"/>
        <v>#REF!</v>
      </c>
      <c r="I55" s="35" t="e">
        <f t="shared" si="5"/>
        <v>#REF!</v>
      </c>
      <c r="J55" s="24"/>
      <c r="K55" s="24"/>
    </row>
    <row r="56" spans="1:11" x14ac:dyDescent="0.25">
      <c r="A56" s="25">
        <v>2078</v>
      </c>
      <c r="B56" s="26">
        <v>117</v>
      </c>
      <c r="C56" s="26"/>
      <c r="D56" s="26"/>
      <c r="E56" s="24" t="e">
        <f t="shared" si="6"/>
        <v>#REF!</v>
      </c>
      <c r="F56" s="24" t="e">
        <f>E55/VLOOKUP(A56,'RMD Table'!$A:$E,3,FALSE)</f>
        <v>#REF!</v>
      </c>
      <c r="G56" s="24" t="e">
        <f t="shared" si="7"/>
        <v>#REF!</v>
      </c>
      <c r="H56" s="30" t="e">
        <f t="shared" si="8"/>
        <v>#REF!</v>
      </c>
      <c r="I56" s="35" t="e">
        <f t="shared" si="5"/>
        <v>#REF!</v>
      </c>
      <c r="J56" s="24"/>
      <c r="K56" s="24"/>
    </row>
    <row r="57" spans="1:11" x14ac:dyDescent="0.25">
      <c r="A57" s="25">
        <v>2079</v>
      </c>
      <c r="B57" s="26">
        <v>118</v>
      </c>
      <c r="C57" s="26"/>
      <c r="D57" s="26"/>
      <c r="E57" s="24" t="e">
        <f t="shared" si="6"/>
        <v>#REF!</v>
      </c>
      <c r="F57" s="24" t="e">
        <f>E56/VLOOKUP(A57,'RMD Table'!$A:$E,3,FALSE)</f>
        <v>#REF!</v>
      </c>
      <c r="G57" s="24" t="e">
        <f t="shared" si="7"/>
        <v>#REF!</v>
      </c>
      <c r="H57" s="30" t="e">
        <f t="shared" si="8"/>
        <v>#REF!</v>
      </c>
      <c r="I57" s="35" t="e">
        <f t="shared" si="5"/>
        <v>#REF!</v>
      </c>
      <c r="J57" s="24"/>
      <c r="K57" s="24"/>
    </row>
    <row r="58" spans="1:11" x14ac:dyDescent="0.25">
      <c r="A58" s="25">
        <v>2080</v>
      </c>
      <c r="B58" s="26">
        <v>119</v>
      </c>
      <c r="C58" s="26"/>
      <c r="D58" s="26"/>
      <c r="E58" s="24" t="e">
        <f t="shared" si="6"/>
        <v>#REF!</v>
      </c>
      <c r="F58" s="24" t="e">
        <f>E57/VLOOKUP(A58,'RMD Table'!$A:$E,3,FALSE)</f>
        <v>#REF!</v>
      </c>
      <c r="G58" s="24" t="e">
        <f t="shared" si="7"/>
        <v>#REF!</v>
      </c>
      <c r="H58" s="30" t="e">
        <f t="shared" si="8"/>
        <v>#REF!</v>
      </c>
      <c r="I58" s="35" t="e">
        <f t="shared" si="5"/>
        <v>#REF!</v>
      </c>
      <c r="J58" s="24"/>
      <c r="K58" s="24"/>
    </row>
    <row r="59" spans="1:11" x14ac:dyDescent="0.25">
      <c r="A59" s="25">
        <v>2081</v>
      </c>
      <c r="B59" s="26">
        <v>120</v>
      </c>
      <c r="C59" s="26"/>
      <c r="D59" s="26"/>
      <c r="E59" s="24" t="e">
        <f t="shared" si="6"/>
        <v>#REF!</v>
      </c>
      <c r="F59" s="24" t="e">
        <f>E58/VLOOKUP(A59,'RMD Table'!$A:$E,3,FALSE)</f>
        <v>#REF!</v>
      </c>
      <c r="G59" s="24" t="e">
        <f t="shared" si="7"/>
        <v>#REF!</v>
      </c>
      <c r="H59" s="30" t="e">
        <f t="shared" si="8"/>
        <v>#REF!</v>
      </c>
      <c r="I59" s="35" t="e">
        <f t="shared" si="5"/>
        <v>#REF!</v>
      </c>
      <c r="J59" s="24"/>
      <c r="K59"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E60"/>
  <sheetViews>
    <sheetView zoomScale="190" zoomScaleNormal="190" workbookViewId="0">
      <selection activeCell="C22" sqref="C22"/>
    </sheetView>
  </sheetViews>
  <sheetFormatPr defaultRowHeight="15" x14ac:dyDescent="0.25"/>
  <cols>
    <col min="1" max="1" width="5.140625" style="2" bestFit="1" customWidth="1"/>
    <col min="2" max="2" width="4.42578125" style="2" bestFit="1" customWidth="1"/>
    <col min="3" max="3" width="13.85546875" style="2" customWidth="1"/>
    <col min="4" max="4" width="13.42578125" style="2" customWidth="1"/>
    <col min="5" max="5" width="14.7109375" style="2" customWidth="1"/>
    <col min="6" max="16384" width="9.140625" style="2"/>
  </cols>
  <sheetData>
    <row r="1" spans="1:5" ht="45" x14ac:dyDescent="0.25">
      <c r="A1" s="12" t="s">
        <v>2</v>
      </c>
      <c r="B1" s="12" t="s">
        <v>4</v>
      </c>
      <c r="C1" s="12" t="s">
        <v>5</v>
      </c>
      <c r="D1" s="12" t="s">
        <v>6</v>
      </c>
      <c r="E1" s="12" t="s">
        <v>7</v>
      </c>
    </row>
    <row r="2" spans="1:5" x14ac:dyDescent="0.25">
      <c r="A2" s="12"/>
      <c r="B2" s="12"/>
      <c r="C2" s="12"/>
      <c r="D2" s="12"/>
      <c r="E2" s="13">
        <v>0.1</v>
      </c>
    </row>
    <row r="3" spans="1:5" x14ac:dyDescent="0.25">
      <c r="A3" s="12">
        <v>2024</v>
      </c>
      <c r="B3" s="12">
        <v>63</v>
      </c>
      <c r="C3" s="12" t="s">
        <v>3</v>
      </c>
      <c r="D3" s="12"/>
      <c r="E3" s="14">
        <v>100000</v>
      </c>
    </row>
    <row r="4" spans="1:5" ht="15.75" thickBot="1" x14ac:dyDescent="0.3">
      <c r="A4" s="9">
        <v>2025</v>
      </c>
      <c r="B4" s="10">
        <v>64</v>
      </c>
      <c r="C4" s="10" t="s">
        <v>3</v>
      </c>
      <c r="D4" s="11">
        <v>0</v>
      </c>
      <c r="E4" s="11">
        <v>110000</v>
      </c>
    </row>
    <row r="5" spans="1:5" ht="15.75" thickBot="1" x14ac:dyDescent="0.3">
      <c r="A5" s="6">
        <v>2026</v>
      </c>
      <c r="B5" s="7">
        <v>65</v>
      </c>
      <c r="C5" s="7" t="s">
        <v>3</v>
      </c>
      <c r="D5" s="8">
        <v>0</v>
      </c>
      <c r="E5" s="8">
        <v>121000</v>
      </c>
    </row>
    <row r="6" spans="1:5" ht="15.75" thickBot="1" x14ac:dyDescent="0.3">
      <c r="A6" s="3">
        <v>2027</v>
      </c>
      <c r="B6" s="4">
        <v>66</v>
      </c>
      <c r="C6" s="4" t="s">
        <v>3</v>
      </c>
      <c r="D6" s="5">
        <v>0</v>
      </c>
      <c r="E6" s="5">
        <v>133100</v>
      </c>
    </row>
    <row r="7" spans="1:5" ht="15.75" thickBot="1" x14ac:dyDescent="0.3">
      <c r="A7" s="6">
        <v>2028</v>
      </c>
      <c r="B7" s="7">
        <v>67</v>
      </c>
      <c r="C7" s="7" t="s">
        <v>3</v>
      </c>
      <c r="D7" s="8">
        <v>0</v>
      </c>
      <c r="E7" s="8">
        <v>146410</v>
      </c>
    </row>
    <row r="8" spans="1:5" ht="15.75" thickBot="1" x14ac:dyDescent="0.3">
      <c r="A8" s="3">
        <v>2029</v>
      </c>
      <c r="B8" s="4">
        <v>68</v>
      </c>
      <c r="C8" s="4" t="s">
        <v>3</v>
      </c>
      <c r="D8" s="5">
        <v>0</v>
      </c>
      <c r="E8" s="5">
        <v>161051</v>
      </c>
    </row>
    <row r="9" spans="1:5" ht="15.75" thickBot="1" x14ac:dyDescent="0.3">
      <c r="A9" s="6">
        <v>2030</v>
      </c>
      <c r="B9" s="7">
        <v>69</v>
      </c>
      <c r="C9" s="7" t="s">
        <v>3</v>
      </c>
      <c r="D9" s="8">
        <v>0</v>
      </c>
      <c r="E9" s="8">
        <v>177156.1</v>
      </c>
    </row>
    <row r="10" spans="1:5" ht="15.75" thickBot="1" x14ac:dyDescent="0.3">
      <c r="A10" s="3">
        <v>2031</v>
      </c>
      <c r="B10" s="4">
        <v>70</v>
      </c>
      <c r="C10" s="4" t="s">
        <v>3</v>
      </c>
      <c r="D10" s="5">
        <v>0</v>
      </c>
      <c r="E10" s="5">
        <v>194871.71</v>
      </c>
    </row>
    <row r="11" spans="1:5" ht="15.75" thickBot="1" x14ac:dyDescent="0.3">
      <c r="A11" s="16">
        <v>2032</v>
      </c>
      <c r="B11" s="17">
        <v>71</v>
      </c>
      <c r="C11" s="17" t="s">
        <v>3</v>
      </c>
      <c r="D11" s="18">
        <v>0</v>
      </c>
      <c r="E11" s="18">
        <v>214358.88</v>
      </c>
    </row>
    <row r="12" spans="1:5" ht="15.75" thickBot="1" x14ac:dyDescent="0.3">
      <c r="A12" s="3">
        <v>2033</v>
      </c>
      <c r="B12" s="4">
        <v>72</v>
      </c>
      <c r="C12" s="4" t="s">
        <v>3</v>
      </c>
      <c r="D12" s="5">
        <v>0</v>
      </c>
      <c r="E12" s="5">
        <v>235794.77</v>
      </c>
    </row>
    <row r="13" spans="1:5" ht="15.75" thickBot="1" x14ac:dyDescent="0.3">
      <c r="A13" s="19">
        <v>2034</v>
      </c>
      <c r="B13" s="20">
        <v>73</v>
      </c>
      <c r="C13" s="20">
        <v>26.5</v>
      </c>
      <c r="D13" s="21">
        <v>8897.92</v>
      </c>
      <c r="E13" s="21">
        <v>250476.33</v>
      </c>
    </row>
    <row r="14" spans="1:5" ht="15.75" thickBot="1" x14ac:dyDescent="0.3">
      <c r="A14" s="3">
        <v>2035</v>
      </c>
      <c r="B14" s="4">
        <v>74</v>
      </c>
      <c r="C14" s="4">
        <v>25.5</v>
      </c>
      <c r="D14" s="5">
        <v>9822.6</v>
      </c>
      <c r="E14" s="5">
        <v>265701.36</v>
      </c>
    </row>
    <row r="15" spans="1:5" ht="15.75" thickBot="1" x14ac:dyDescent="0.3">
      <c r="A15" s="6">
        <v>2036</v>
      </c>
      <c r="B15" s="7">
        <v>75</v>
      </c>
      <c r="C15" s="7">
        <v>24.6</v>
      </c>
      <c r="D15" s="8">
        <v>10800.87</v>
      </c>
      <c r="E15" s="8">
        <v>281470.63</v>
      </c>
    </row>
    <row r="16" spans="1:5" ht="15.75" thickBot="1" x14ac:dyDescent="0.3">
      <c r="A16" s="3">
        <v>2037</v>
      </c>
      <c r="B16" s="4">
        <v>76</v>
      </c>
      <c r="C16" s="4">
        <v>23.7</v>
      </c>
      <c r="D16" s="5">
        <v>11876.4</v>
      </c>
      <c r="E16" s="5">
        <v>297741.28999999998</v>
      </c>
    </row>
    <row r="17" spans="1:5" ht="15.75" thickBot="1" x14ac:dyDescent="0.3">
      <c r="A17" s="6">
        <v>2038</v>
      </c>
      <c r="B17" s="7">
        <v>77</v>
      </c>
      <c r="C17" s="7">
        <v>22.9</v>
      </c>
      <c r="D17" s="8">
        <v>13001.8</v>
      </c>
      <c r="E17" s="8">
        <v>314513.62</v>
      </c>
    </row>
    <row r="18" spans="1:5" ht="15.75" thickBot="1" x14ac:dyDescent="0.3">
      <c r="A18" s="3">
        <v>2039</v>
      </c>
      <c r="B18" s="4">
        <v>78</v>
      </c>
      <c r="C18" s="4">
        <v>22</v>
      </c>
      <c r="D18" s="5">
        <v>14296.07</v>
      </c>
      <c r="E18" s="5">
        <v>331668.90999999997</v>
      </c>
    </row>
    <row r="19" spans="1:5" ht="15.75" thickBot="1" x14ac:dyDescent="0.3">
      <c r="A19" s="6">
        <v>2040</v>
      </c>
      <c r="B19" s="7">
        <v>79</v>
      </c>
      <c r="C19" s="7">
        <v>21.1</v>
      </c>
      <c r="D19" s="8">
        <v>15718.91</v>
      </c>
      <c r="E19" s="8">
        <v>349116.89</v>
      </c>
    </row>
    <row r="20" spans="1:5" ht="15.75" thickBot="1" x14ac:dyDescent="0.3">
      <c r="A20" s="3">
        <v>2041</v>
      </c>
      <c r="B20" s="4">
        <v>80</v>
      </c>
      <c r="C20" s="4">
        <v>20.2</v>
      </c>
      <c r="D20" s="5">
        <v>17283.009999999998</v>
      </c>
      <c r="E20" s="5">
        <v>366745.57</v>
      </c>
    </row>
    <row r="21" spans="1:5" ht="15.75" thickBot="1" x14ac:dyDescent="0.3">
      <c r="A21" s="6">
        <v>2042</v>
      </c>
      <c r="B21" s="7">
        <v>81</v>
      </c>
      <c r="C21" s="7">
        <v>19.399999999999999</v>
      </c>
      <c r="D21" s="8">
        <v>18904.41</v>
      </c>
      <c r="E21" s="8">
        <v>384515.72</v>
      </c>
    </row>
    <row r="22" spans="1:5" ht="15.75" thickBot="1" x14ac:dyDescent="0.3">
      <c r="A22" s="3">
        <v>2043</v>
      </c>
      <c r="B22" s="4">
        <v>82</v>
      </c>
      <c r="C22" s="4">
        <v>18.5</v>
      </c>
      <c r="D22" s="5">
        <v>20784.63</v>
      </c>
      <c r="E22" s="5">
        <v>402182.65</v>
      </c>
    </row>
    <row r="23" spans="1:5" ht="15.75" thickBot="1" x14ac:dyDescent="0.3">
      <c r="A23" s="6">
        <v>2044</v>
      </c>
      <c r="B23" s="7">
        <v>83</v>
      </c>
      <c r="C23" s="7">
        <v>17.7</v>
      </c>
      <c r="D23" s="8">
        <v>22722.18</v>
      </c>
      <c r="E23" s="8">
        <v>419678.74</v>
      </c>
    </row>
    <row r="24" spans="1:5" ht="15.75" thickBot="1" x14ac:dyDescent="0.3">
      <c r="A24" s="3">
        <v>2045</v>
      </c>
      <c r="B24" s="4">
        <v>84</v>
      </c>
      <c r="C24" s="4">
        <v>16.8</v>
      </c>
      <c r="D24" s="5">
        <v>24980.880000000001</v>
      </c>
      <c r="E24" s="5">
        <v>436665.73</v>
      </c>
    </row>
    <row r="25" spans="1:5" ht="15.75" thickBot="1" x14ac:dyDescent="0.3">
      <c r="A25" s="6">
        <v>2046</v>
      </c>
      <c r="B25" s="7">
        <v>85</v>
      </c>
      <c r="C25" s="7">
        <v>16</v>
      </c>
      <c r="D25" s="8">
        <v>27291.61</v>
      </c>
      <c r="E25" s="8">
        <v>453040.7</v>
      </c>
    </row>
    <row r="26" spans="1:5" ht="15.75" thickBot="1" x14ac:dyDescent="0.3">
      <c r="A26" s="3">
        <v>2047</v>
      </c>
      <c r="B26" s="4">
        <v>86</v>
      </c>
      <c r="C26" s="4">
        <v>15.2</v>
      </c>
      <c r="D26" s="5">
        <v>29805.31</v>
      </c>
      <c r="E26" s="5">
        <v>468539.46</v>
      </c>
    </row>
    <row r="27" spans="1:5" ht="15.75" thickBot="1" x14ac:dyDescent="0.3">
      <c r="A27" s="6">
        <v>2048</v>
      </c>
      <c r="B27" s="7">
        <v>87</v>
      </c>
      <c r="C27" s="7">
        <v>14.4</v>
      </c>
      <c r="D27" s="8">
        <v>32537.46</v>
      </c>
      <c r="E27" s="8">
        <v>482855.94</v>
      </c>
    </row>
    <row r="28" spans="1:5" ht="15.75" thickBot="1" x14ac:dyDescent="0.3">
      <c r="A28" s="3">
        <v>2049</v>
      </c>
      <c r="B28" s="4">
        <v>88</v>
      </c>
      <c r="C28" s="4">
        <v>13.7</v>
      </c>
      <c r="D28" s="5">
        <v>35244.959999999999</v>
      </c>
      <c r="E28" s="5">
        <v>495896.58</v>
      </c>
    </row>
    <row r="29" spans="1:5" ht="15.75" thickBot="1" x14ac:dyDescent="0.3">
      <c r="A29" s="6">
        <v>2050</v>
      </c>
      <c r="B29" s="7">
        <v>89</v>
      </c>
      <c r="C29" s="7">
        <v>12.9</v>
      </c>
      <c r="D29" s="8">
        <v>38441.599999999999</v>
      </c>
      <c r="E29" s="8">
        <v>507044.64</v>
      </c>
    </row>
    <row r="30" spans="1:5" ht="15.75" thickBot="1" x14ac:dyDescent="0.3">
      <c r="A30" s="3">
        <v>2051</v>
      </c>
      <c r="B30" s="4">
        <v>90</v>
      </c>
      <c r="C30" s="4">
        <v>12.2</v>
      </c>
      <c r="D30" s="5">
        <v>41561.040000000001</v>
      </c>
      <c r="E30" s="5">
        <v>516188.07</v>
      </c>
    </row>
    <row r="31" spans="1:5" ht="15.75" thickBot="1" x14ac:dyDescent="0.3">
      <c r="A31" s="6">
        <v>2052</v>
      </c>
      <c r="B31" s="7">
        <v>91</v>
      </c>
      <c r="C31" s="7">
        <v>11.5</v>
      </c>
      <c r="D31" s="8">
        <v>44885.919999999998</v>
      </c>
      <c r="E31" s="8">
        <v>522920.95</v>
      </c>
    </row>
    <row r="32" spans="1:5" ht="15.75" thickBot="1" x14ac:dyDescent="0.3">
      <c r="A32" s="3">
        <v>2053</v>
      </c>
      <c r="B32" s="4">
        <v>92</v>
      </c>
      <c r="C32" s="4">
        <v>10.8</v>
      </c>
      <c r="D32" s="5">
        <v>48418.61</v>
      </c>
      <c r="E32" s="5">
        <v>526794.43999999994</v>
      </c>
    </row>
    <row r="33" spans="1:5" ht="15.75" thickBot="1" x14ac:dyDescent="0.3">
      <c r="A33" s="6">
        <v>2054</v>
      </c>
      <c r="B33" s="7">
        <v>93</v>
      </c>
      <c r="C33" s="7">
        <v>10.1</v>
      </c>
      <c r="D33" s="8">
        <v>52157.87</v>
      </c>
      <c r="E33" s="8">
        <v>527316.02</v>
      </c>
    </row>
    <row r="34" spans="1:5" ht="15.75" thickBot="1" x14ac:dyDescent="0.3">
      <c r="A34" s="3">
        <v>2055</v>
      </c>
      <c r="B34" s="4">
        <v>94</v>
      </c>
      <c r="C34" s="4">
        <v>9.5</v>
      </c>
      <c r="D34" s="5">
        <v>55506.95</v>
      </c>
      <c r="E34" s="5">
        <v>524540.67000000004</v>
      </c>
    </row>
    <row r="35" spans="1:5" ht="15.75" thickBot="1" x14ac:dyDescent="0.3">
      <c r="A35" s="6">
        <v>2056</v>
      </c>
      <c r="B35" s="7">
        <v>95</v>
      </c>
      <c r="C35" s="7">
        <v>8.9</v>
      </c>
      <c r="D35" s="8">
        <v>58937.15</v>
      </c>
      <c r="E35" s="8">
        <v>518057.59</v>
      </c>
    </row>
    <row r="36" spans="1:5" ht="15.75" thickBot="1" x14ac:dyDescent="0.3">
      <c r="A36" s="3">
        <v>2057</v>
      </c>
      <c r="B36" s="4">
        <v>96</v>
      </c>
      <c r="C36" s="4">
        <v>8.4</v>
      </c>
      <c r="D36" s="5">
        <v>61673.52</v>
      </c>
      <c r="E36" s="5">
        <v>508189.82</v>
      </c>
    </row>
    <row r="37" spans="1:5" ht="15.75" thickBot="1" x14ac:dyDescent="0.3">
      <c r="A37" s="6">
        <v>2058</v>
      </c>
      <c r="B37" s="7">
        <v>97</v>
      </c>
      <c r="C37" s="7">
        <v>7.8</v>
      </c>
      <c r="D37" s="8">
        <v>65152.54</v>
      </c>
      <c r="E37" s="8">
        <v>493856.26</v>
      </c>
    </row>
    <row r="38" spans="1:5" ht="15.75" thickBot="1" x14ac:dyDescent="0.3">
      <c r="A38" s="3">
        <v>2059</v>
      </c>
      <c r="B38" s="4">
        <v>98</v>
      </c>
      <c r="C38" s="4">
        <v>7.3</v>
      </c>
      <c r="D38" s="5">
        <v>67651.539999999994</v>
      </c>
      <c r="E38" s="5">
        <v>475590.35</v>
      </c>
    </row>
    <row r="39" spans="1:5" ht="15.75" thickBot="1" x14ac:dyDescent="0.3">
      <c r="A39" s="6">
        <v>2060</v>
      </c>
      <c r="B39" s="7">
        <v>99</v>
      </c>
      <c r="C39" s="7">
        <v>6.8</v>
      </c>
      <c r="D39" s="8">
        <v>69939.759999999995</v>
      </c>
      <c r="E39" s="8">
        <v>453209.63</v>
      </c>
    </row>
    <row r="40" spans="1:5" ht="15.75" thickBot="1" x14ac:dyDescent="0.3">
      <c r="A40" s="3">
        <v>2061</v>
      </c>
      <c r="B40" s="4">
        <v>100</v>
      </c>
      <c r="C40" s="4">
        <v>6.4</v>
      </c>
      <c r="D40" s="5">
        <v>70814</v>
      </c>
      <c r="E40" s="5">
        <v>427716.58</v>
      </c>
    </row>
    <row r="41" spans="1:5" ht="15.75" thickBot="1" x14ac:dyDescent="0.3">
      <c r="A41" s="6">
        <v>2062</v>
      </c>
      <c r="B41" s="7">
        <v>101</v>
      </c>
      <c r="C41" s="7">
        <v>6</v>
      </c>
      <c r="D41" s="8">
        <v>71286.100000000006</v>
      </c>
      <c r="E41" s="8">
        <v>399202.15</v>
      </c>
    </row>
    <row r="42" spans="1:5" ht="15.75" thickBot="1" x14ac:dyDescent="0.3">
      <c r="A42" s="3">
        <v>2063</v>
      </c>
      <c r="B42" s="4">
        <v>102</v>
      </c>
      <c r="C42" s="4">
        <v>5.6</v>
      </c>
      <c r="D42" s="5">
        <v>71286.100000000006</v>
      </c>
      <c r="E42" s="5">
        <v>367836.26</v>
      </c>
    </row>
    <row r="43" spans="1:5" ht="15.75" thickBot="1" x14ac:dyDescent="0.3">
      <c r="A43" s="6">
        <v>2064</v>
      </c>
      <c r="B43" s="7">
        <v>103</v>
      </c>
      <c r="C43" s="7">
        <v>5.2</v>
      </c>
      <c r="D43" s="8">
        <v>70737.740000000005</v>
      </c>
      <c r="E43" s="8">
        <v>333882.15000000002</v>
      </c>
    </row>
    <row r="44" spans="1:5" ht="15.75" thickBot="1" x14ac:dyDescent="0.3">
      <c r="A44" s="3">
        <v>2065</v>
      </c>
      <c r="B44" s="4">
        <v>104</v>
      </c>
      <c r="C44" s="4">
        <v>4.9000000000000004</v>
      </c>
      <c r="D44" s="5">
        <v>68139.210000000006</v>
      </c>
      <c r="E44" s="5">
        <v>299131.15000000002</v>
      </c>
    </row>
    <row r="45" spans="1:5" ht="15.75" thickBot="1" x14ac:dyDescent="0.3">
      <c r="A45" s="6">
        <v>2066</v>
      </c>
      <c r="B45" s="7">
        <v>105</v>
      </c>
      <c r="C45" s="7">
        <v>4.5999999999999996</v>
      </c>
      <c r="D45" s="8">
        <v>65028.51</v>
      </c>
      <c r="E45" s="8">
        <v>264015.75</v>
      </c>
    </row>
    <row r="46" spans="1:5" ht="15.75" thickBot="1" x14ac:dyDescent="0.3">
      <c r="A46" s="3">
        <v>2067</v>
      </c>
      <c r="B46" s="4">
        <v>106</v>
      </c>
      <c r="C46" s="4">
        <v>4.3</v>
      </c>
      <c r="D46" s="5">
        <v>61399.01</v>
      </c>
      <c r="E46" s="5">
        <v>229018.31</v>
      </c>
    </row>
    <row r="47" spans="1:5" ht="15.75" thickBot="1" x14ac:dyDescent="0.3">
      <c r="A47" s="6">
        <v>2068</v>
      </c>
      <c r="B47" s="7">
        <v>107</v>
      </c>
      <c r="C47" s="7">
        <v>4.0999999999999996</v>
      </c>
      <c r="D47" s="8">
        <v>55858.13</v>
      </c>
      <c r="E47" s="8">
        <v>196062.02</v>
      </c>
    </row>
    <row r="48" spans="1:5" ht="15.75" thickBot="1" x14ac:dyDescent="0.3">
      <c r="A48" s="3">
        <v>2069</v>
      </c>
      <c r="B48" s="4">
        <v>108</v>
      </c>
      <c r="C48" s="4">
        <v>3.9</v>
      </c>
      <c r="D48" s="5">
        <v>50272.31</v>
      </c>
      <c r="E48" s="5">
        <v>165395.91</v>
      </c>
    </row>
    <row r="49" spans="1:5" ht="15.75" thickBot="1" x14ac:dyDescent="0.3">
      <c r="A49" s="6">
        <v>2070</v>
      </c>
      <c r="B49" s="7">
        <v>109</v>
      </c>
      <c r="C49" s="7">
        <v>3.7</v>
      </c>
      <c r="D49" s="8">
        <v>44701.599999999999</v>
      </c>
      <c r="E49" s="8">
        <v>137233.9</v>
      </c>
    </row>
    <row r="50" spans="1:5" ht="15.75" thickBot="1" x14ac:dyDescent="0.3">
      <c r="A50" s="3">
        <v>2071</v>
      </c>
      <c r="B50" s="4">
        <v>110</v>
      </c>
      <c r="C50" s="4">
        <v>3.5</v>
      </c>
      <c r="D50" s="5">
        <v>39209.69</v>
      </c>
      <c r="E50" s="5">
        <v>111747.61</v>
      </c>
    </row>
    <row r="51" spans="1:5" ht="15.75" thickBot="1" x14ac:dyDescent="0.3">
      <c r="A51" s="6">
        <v>2072</v>
      </c>
      <c r="B51" s="7">
        <v>111</v>
      </c>
      <c r="C51" s="7">
        <v>3.4</v>
      </c>
      <c r="D51" s="8">
        <v>32866.94</v>
      </c>
      <c r="E51" s="8">
        <v>90055.42</v>
      </c>
    </row>
    <row r="52" spans="1:5" ht="15.75" thickBot="1" x14ac:dyDescent="0.3">
      <c r="A52" s="3">
        <v>2073</v>
      </c>
      <c r="B52" s="4">
        <v>112</v>
      </c>
      <c r="C52" s="4">
        <v>3.3</v>
      </c>
      <c r="D52" s="5">
        <v>27289.52</v>
      </c>
      <c r="E52" s="5">
        <v>71771.44</v>
      </c>
    </row>
    <row r="53" spans="1:5" ht="15.75" thickBot="1" x14ac:dyDescent="0.3">
      <c r="A53" s="6">
        <v>2074</v>
      </c>
      <c r="B53" s="7">
        <v>113</v>
      </c>
      <c r="C53" s="7">
        <v>3.1</v>
      </c>
      <c r="D53" s="8">
        <v>23152.080000000002</v>
      </c>
      <c r="E53" s="8">
        <v>55796.51</v>
      </c>
    </row>
    <row r="54" spans="1:5" ht="15.75" thickBot="1" x14ac:dyDescent="0.3">
      <c r="A54" s="3">
        <v>2075</v>
      </c>
      <c r="B54" s="4">
        <v>114</v>
      </c>
      <c r="C54" s="4">
        <v>3</v>
      </c>
      <c r="D54" s="5">
        <v>18598.84</v>
      </c>
      <c r="E54" s="5">
        <v>42777.32</v>
      </c>
    </row>
    <row r="55" spans="1:5" ht="15.75" thickBot="1" x14ac:dyDescent="0.3">
      <c r="A55" s="6">
        <v>2076</v>
      </c>
      <c r="B55" s="7">
        <v>115</v>
      </c>
      <c r="C55" s="7">
        <v>2.9</v>
      </c>
      <c r="D55" s="8">
        <v>14750.8</v>
      </c>
      <c r="E55" s="8">
        <v>32304.26</v>
      </c>
    </row>
    <row r="56" spans="1:5" ht="15.75" thickBot="1" x14ac:dyDescent="0.3">
      <c r="A56" s="3">
        <v>2077</v>
      </c>
      <c r="B56" s="4">
        <v>116</v>
      </c>
      <c r="C56" s="4">
        <v>2.8</v>
      </c>
      <c r="D56" s="5">
        <v>11537.23</v>
      </c>
      <c r="E56" s="5">
        <v>23997.45</v>
      </c>
    </row>
    <row r="57" spans="1:5" ht="15.75" thickBot="1" x14ac:dyDescent="0.3">
      <c r="A57" s="6">
        <v>2078</v>
      </c>
      <c r="B57" s="7">
        <v>117</v>
      </c>
      <c r="C57" s="7">
        <v>2.7</v>
      </c>
      <c r="D57" s="8">
        <v>8887.94</v>
      </c>
      <c r="E57" s="8">
        <v>17509.25</v>
      </c>
    </row>
    <row r="58" spans="1:5" ht="15.75" thickBot="1" x14ac:dyDescent="0.3">
      <c r="A58" s="3">
        <v>2079</v>
      </c>
      <c r="B58" s="4">
        <v>118</v>
      </c>
      <c r="C58" s="4">
        <v>2.5</v>
      </c>
      <c r="D58" s="5">
        <v>7003.7</v>
      </c>
      <c r="E58" s="5">
        <v>12256.47</v>
      </c>
    </row>
    <row r="59" spans="1:5" ht="15.75" thickBot="1" x14ac:dyDescent="0.3">
      <c r="A59" s="6">
        <v>2080</v>
      </c>
      <c r="B59" s="7">
        <v>119</v>
      </c>
      <c r="C59" s="7">
        <v>2.2999999999999998</v>
      </c>
      <c r="D59" s="8">
        <v>5328.9</v>
      </c>
      <c r="E59" s="8">
        <v>8153.22</v>
      </c>
    </row>
    <row r="60" spans="1:5" ht="15.75" thickBot="1" x14ac:dyDescent="0.3">
      <c r="A60" s="3">
        <v>2081</v>
      </c>
      <c r="B60" s="4">
        <v>120</v>
      </c>
      <c r="C60" s="4">
        <v>2</v>
      </c>
      <c r="D60" s="5">
        <v>4076.61</v>
      </c>
      <c r="E60" s="5">
        <v>4891.93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zoomScale="150" zoomScaleNormal="150" workbookViewId="0">
      <selection activeCell="A4" sqref="A4"/>
    </sheetView>
  </sheetViews>
  <sheetFormatPr defaultRowHeight="15" x14ac:dyDescent="0.25"/>
  <cols>
    <col min="1" max="1" width="17.140625" style="41" customWidth="1"/>
    <col min="2" max="2" width="14.140625" style="41" bestFit="1" customWidth="1"/>
    <col min="3" max="3" width="30.7109375" style="41" customWidth="1"/>
    <col min="4" max="16384" width="9.140625" style="41"/>
  </cols>
  <sheetData>
    <row r="1" spans="1:3" s="39" customFormat="1" x14ac:dyDescent="0.25">
      <c r="A1" s="38" t="s">
        <v>25</v>
      </c>
    </row>
    <row r="2" spans="1:3" x14ac:dyDescent="0.25">
      <c r="A2" s="40" t="s">
        <v>1</v>
      </c>
      <c r="B2" s="40" t="s">
        <v>32</v>
      </c>
      <c r="C2" s="40" t="s">
        <v>31</v>
      </c>
    </row>
    <row r="3" spans="1:3" ht="45" x14ac:dyDescent="0.25">
      <c r="A3" s="41" t="s">
        <v>19</v>
      </c>
      <c r="B3" s="41" t="s">
        <v>18</v>
      </c>
      <c r="C3" s="41" t="s">
        <v>30</v>
      </c>
    </row>
    <row r="4" spans="1:3" x14ac:dyDescent="0.25">
      <c r="A4" s="41" t="s">
        <v>26</v>
      </c>
      <c r="B4" s="41">
        <v>1961</v>
      </c>
      <c r="C4" s="41" t="s">
        <v>28</v>
      </c>
    </row>
    <row r="5" spans="1:3" x14ac:dyDescent="0.25">
      <c r="A5" s="41" t="s">
        <v>27</v>
      </c>
      <c r="B5" s="41">
        <v>2025</v>
      </c>
      <c r="C5" s="41" t="s">
        <v>29</v>
      </c>
    </row>
    <row r="6" spans="1:3" x14ac:dyDescent="0.25">
      <c r="A6" s="41" t="s">
        <v>21</v>
      </c>
      <c r="B6" s="42">
        <v>103697.63</v>
      </c>
      <c r="C6" s="41" t="str">
        <f>CONCATENATE(TEXT(B5-1,"####")," EOY Balance")</f>
        <v>2024 EOY Balance</v>
      </c>
    </row>
    <row r="7" spans="1:3" ht="30" x14ac:dyDescent="0.25">
      <c r="A7" s="41" t="s">
        <v>33</v>
      </c>
      <c r="B7" s="43">
        <v>12342</v>
      </c>
    </row>
    <row r="8" spans="1:3" ht="45" x14ac:dyDescent="0.25">
      <c r="A8" s="41" t="s">
        <v>34</v>
      </c>
      <c r="B8" s="43">
        <v>38546</v>
      </c>
      <c r="C8" s="41" t="s">
        <v>35</v>
      </c>
    </row>
    <row r="9" spans="1:3" ht="30" x14ac:dyDescent="0.25">
      <c r="A9" s="41" t="s">
        <v>36</v>
      </c>
      <c r="B9" s="41" t="s">
        <v>37</v>
      </c>
    </row>
    <row r="10" spans="1:3" ht="30" x14ac:dyDescent="0.25">
      <c r="A10" s="41" t="s">
        <v>38</v>
      </c>
      <c r="B10" s="41" t="s">
        <v>39</v>
      </c>
      <c r="C10" s="41" t="s">
        <v>40</v>
      </c>
    </row>
    <row r="11" spans="1:3" ht="30" x14ac:dyDescent="0.25">
      <c r="A11" s="41" t="s">
        <v>42</v>
      </c>
      <c r="B11" s="41" t="s">
        <v>39</v>
      </c>
      <c r="C11" s="41" t="s">
        <v>41</v>
      </c>
    </row>
    <row r="12" spans="1:3" ht="120" x14ac:dyDescent="0.25">
      <c r="A12" s="41" t="s">
        <v>43</v>
      </c>
      <c r="B12" s="41" t="s">
        <v>37</v>
      </c>
      <c r="C12" s="41" t="s">
        <v>44</v>
      </c>
    </row>
    <row r="13" spans="1:3" ht="30" x14ac:dyDescent="0.25">
      <c r="A13" s="41" t="s">
        <v>45</v>
      </c>
      <c r="B13" s="43">
        <v>22445</v>
      </c>
      <c r="C13" s="41" t="s">
        <v>46</v>
      </c>
    </row>
    <row r="15" spans="1:3" x14ac:dyDescent="0.25">
      <c r="A15" s="41" t="s">
        <v>48</v>
      </c>
      <c r="B15" s="41">
        <v>4713.53</v>
      </c>
      <c r="C15" s="41" t="s">
        <v>47</v>
      </c>
    </row>
  </sheetData>
  <hyperlinks>
    <hyperlink ref="A1"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My_Income</vt:lpstr>
      <vt:lpstr>My_Accounts</vt:lpstr>
      <vt:lpstr>I-Accounts</vt:lpstr>
      <vt:lpstr>Withdrawal Schedule</vt:lpstr>
      <vt:lpstr>RMD Table</vt:lpstr>
      <vt:lpstr>RMD Schema</vt:lpstr>
      <vt:lpstr>'I-Accounts'!_FilterDatabase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 Puggi</dc:creator>
  <cp:lastModifiedBy>Jim Puggi</cp:lastModifiedBy>
  <dcterms:created xsi:type="dcterms:W3CDTF">2025-04-12T13:03:29Z</dcterms:created>
  <dcterms:modified xsi:type="dcterms:W3CDTF">2025-07-31T18:25:34Z</dcterms:modified>
</cp:coreProperties>
</file>