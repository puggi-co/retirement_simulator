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9300" yWindow="75" windowWidth="28080" windowHeight="11025" firstSheet="1" activeTab="1"/>
  </bookViews>
  <sheets>
    <sheet name="T_AMT" sheetId="16" r:id="rId1"/>
    <sheet name="T_CapitalGain" sheetId="15" r:id="rId2"/>
    <sheet name="T_TaxBracket" sheetId="11" r:id="rId3"/>
    <sheet name="T_StandardDeduction" sheetId="14" r:id="rId4"/>
    <sheet name="T_LEF" sheetId="8" r:id="rId5"/>
    <sheet name="TaxYear" sheetId="6" r:id="rId6"/>
    <sheet name="Source" sheetId="7" r:id="rId7"/>
    <sheet name="Tax_Inflation" sheetId="12" r:id="rId8"/>
    <sheet name="Sources" sheetId="17" r:id="rId9"/>
  </sheets>
  <definedNames>
    <definedName name="_xlnm._FilterDatabase" localSheetId="0" hidden="1">T_AMT!$A$1:$F$1</definedName>
    <definedName name="_xlnm._FilterDatabase" localSheetId="1" hidden="1">T_CapitalGain!$A$1:$F$1</definedName>
    <definedName name="_xlnm._FilterDatabase" localSheetId="3" hidden="1">T_StandardDeduction!$A$1:$E$1</definedName>
    <definedName name="_xlnm._FilterDatabase" localSheetId="2" hidden="1">T_TaxBracket!$A$1:$I$1</definedName>
    <definedName name="_xlnm._FilterDatabase" localSheetId="7" hidden="1">Tax_Inflation!$A$1:$I$1</definedName>
  </definedNames>
  <calcPr calcId="145621"/>
</workbook>
</file>

<file path=xl/calcChain.xml><?xml version="1.0" encoding="utf-8"?>
<calcChain xmlns="http://schemas.openxmlformats.org/spreadsheetml/2006/main">
  <c r="J2" i="6" l="1"/>
  <c r="G2" i="6"/>
  <c r="I2" i="6"/>
  <c r="H2" i="6"/>
  <c r="H2" i="15" l="1"/>
  <c r="I2" i="15"/>
  <c r="H3" i="15"/>
  <c r="I3" i="15"/>
  <c r="H4" i="15"/>
  <c r="I4" i="15"/>
  <c r="G3" i="15"/>
  <c r="G4" i="15"/>
  <c r="G2" i="15"/>
  <c r="J6" i="11"/>
  <c r="K6" i="11"/>
  <c r="L6" i="11"/>
  <c r="J7" i="11"/>
  <c r="K7" i="11"/>
  <c r="L7" i="11"/>
  <c r="J8" i="11"/>
  <c r="K8" i="11"/>
  <c r="L8" i="11"/>
  <c r="J5" i="11"/>
  <c r="K5" i="11"/>
  <c r="L5" i="11"/>
  <c r="J4" i="11"/>
  <c r="K4" i="11"/>
  <c r="L4" i="11"/>
  <c r="J3" i="11"/>
  <c r="K3" i="11"/>
  <c r="L3" i="11"/>
  <c r="L2" i="11"/>
  <c r="K2" i="11"/>
  <c r="J2" i="11"/>
  <c r="G8" i="14"/>
  <c r="H8" i="14"/>
  <c r="F8" i="14"/>
  <c r="G2" i="14"/>
  <c r="H2" i="14"/>
  <c r="G3" i="14"/>
  <c r="H3" i="14"/>
  <c r="G4" i="14"/>
  <c r="H4" i="14"/>
  <c r="G5" i="14"/>
  <c r="H5" i="14"/>
  <c r="G6" i="14"/>
  <c r="H6" i="14"/>
  <c r="G7" i="14"/>
  <c r="H7" i="14"/>
  <c r="F3" i="14"/>
  <c r="F4" i="14"/>
  <c r="F5" i="14"/>
  <c r="F6" i="14"/>
  <c r="F7" i="14"/>
  <c r="C2" i="14"/>
  <c r="F2" i="14" s="1"/>
  <c r="H4" i="11"/>
  <c r="H5" i="11"/>
  <c r="H6" i="11"/>
  <c r="H7" i="11"/>
  <c r="H8" i="11"/>
  <c r="H3" i="11"/>
  <c r="F4" i="11"/>
  <c r="F5" i="11"/>
  <c r="F6" i="11"/>
  <c r="F7" i="11"/>
  <c r="F8" i="11"/>
  <c r="F3" i="11"/>
  <c r="H12" i="11"/>
  <c r="H13" i="11"/>
  <c r="H14" i="11"/>
  <c r="H15" i="11"/>
  <c r="H16" i="11"/>
  <c r="H11" i="11"/>
  <c r="F13" i="11"/>
  <c r="F14" i="11"/>
  <c r="F15" i="11"/>
  <c r="F16" i="11"/>
  <c r="F12" i="11"/>
  <c r="F11" i="11"/>
  <c r="D12" i="11"/>
  <c r="D13" i="11"/>
  <c r="D14" i="11"/>
  <c r="D15" i="11"/>
  <c r="D16" i="11"/>
  <c r="D11" i="11"/>
  <c r="D4" i="11"/>
  <c r="D5" i="11"/>
  <c r="D6" i="11"/>
  <c r="D7" i="11"/>
  <c r="D8" i="11"/>
  <c r="D3" i="11"/>
  <c r="P25" i="12" l="1"/>
  <c r="H36" i="12" l="1"/>
  <c r="F36" i="12"/>
  <c r="D36" i="12"/>
  <c r="H35" i="12"/>
  <c r="F35" i="12"/>
  <c r="D35" i="12"/>
  <c r="H34" i="12"/>
  <c r="F34" i="12"/>
  <c r="D34" i="12"/>
  <c r="H33" i="12"/>
  <c r="F33" i="12"/>
  <c r="D33" i="12"/>
  <c r="H32" i="12"/>
  <c r="F32" i="12"/>
  <c r="D32" i="12"/>
  <c r="H31" i="12"/>
  <c r="F31" i="12"/>
  <c r="D31" i="12"/>
  <c r="O25" i="12"/>
  <c r="N25" i="12"/>
  <c r="M25" i="12"/>
  <c r="L25" i="12"/>
  <c r="K25" i="12"/>
  <c r="J25" i="12"/>
  <c r="O17" i="12"/>
  <c r="N17" i="12"/>
  <c r="M17" i="12"/>
  <c r="L17" i="12"/>
  <c r="K17" i="12"/>
  <c r="J17" i="12"/>
  <c r="O16" i="12"/>
  <c r="N16" i="12"/>
  <c r="M16" i="12"/>
  <c r="L16" i="12"/>
  <c r="K16" i="12"/>
  <c r="J16" i="12"/>
  <c r="O15" i="12"/>
  <c r="N15" i="12"/>
  <c r="M15" i="12"/>
  <c r="L15" i="12"/>
  <c r="K15" i="12"/>
  <c r="J15" i="12"/>
  <c r="O24" i="12"/>
  <c r="M24" i="12"/>
  <c r="K24" i="12"/>
  <c r="H24" i="12"/>
  <c r="F24" i="12"/>
  <c r="D24" i="12"/>
  <c r="O23" i="12"/>
  <c r="M23" i="12"/>
  <c r="K23" i="12"/>
  <c r="H23" i="12"/>
  <c r="F23" i="12"/>
  <c r="D23" i="12"/>
  <c r="O22" i="12"/>
  <c r="M22" i="12"/>
  <c r="K22" i="12"/>
  <c r="H22" i="12"/>
  <c r="F22" i="12"/>
  <c r="D22" i="12"/>
  <c r="O21" i="12"/>
  <c r="M21" i="12"/>
  <c r="K21" i="12"/>
  <c r="H21" i="12"/>
  <c r="N9" i="12" s="1"/>
  <c r="F21" i="12"/>
  <c r="D21" i="12"/>
  <c r="O20" i="12"/>
  <c r="M20" i="12"/>
  <c r="K20" i="12"/>
  <c r="H20" i="12"/>
  <c r="F20" i="12"/>
  <c r="D20" i="12"/>
  <c r="O19" i="12"/>
  <c r="M19" i="12"/>
  <c r="K19" i="12"/>
  <c r="H19" i="12"/>
  <c r="N7" i="12" s="1"/>
  <c r="F19" i="12"/>
  <c r="L7" i="12" s="1"/>
  <c r="D19" i="12"/>
  <c r="J7" i="12" s="1"/>
  <c r="O18" i="12"/>
  <c r="N18" i="12"/>
  <c r="M18" i="12"/>
  <c r="L18" i="12"/>
  <c r="K18" i="12"/>
  <c r="J18" i="12"/>
  <c r="O2" i="12"/>
  <c r="N2" i="12"/>
  <c r="M2" i="12"/>
  <c r="L2" i="12"/>
  <c r="K2" i="12"/>
  <c r="J2" i="12"/>
  <c r="O13" i="12"/>
  <c r="N13" i="12"/>
  <c r="M13" i="12"/>
  <c r="L13" i="12"/>
  <c r="K13" i="12"/>
  <c r="J13" i="12"/>
  <c r="O5" i="12"/>
  <c r="N5" i="12"/>
  <c r="M5" i="12"/>
  <c r="L5" i="12"/>
  <c r="K5" i="12"/>
  <c r="J5" i="12"/>
  <c r="O4" i="12"/>
  <c r="N4" i="12"/>
  <c r="M4" i="12"/>
  <c r="L4" i="12"/>
  <c r="K4" i="12"/>
  <c r="J4" i="12"/>
  <c r="O3" i="12"/>
  <c r="N3" i="12"/>
  <c r="M3" i="12"/>
  <c r="L3" i="12"/>
  <c r="K3" i="12"/>
  <c r="J3" i="12"/>
  <c r="O12" i="12"/>
  <c r="M12" i="12"/>
  <c r="K12" i="12"/>
  <c r="H12" i="12"/>
  <c r="N12" i="12" s="1"/>
  <c r="F12" i="12"/>
  <c r="L12" i="12" s="1"/>
  <c r="D12" i="12"/>
  <c r="J12" i="12" s="1"/>
  <c r="O11" i="12"/>
  <c r="M11" i="12"/>
  <c r="K11" i="12"/>
  <c r="H11" i="12"/>
  <c r="F11" i="12"/>
  <c r="D11" i="12"/>
  <c r="O10" i="12"/>
  <c r="M10" i="12"/>
  <c r="K10" i="12"/>
  <c r="H10" i="12"/>
  <c r="F10" i="12"/>
  <c r="D10" i="12"/>
  <c r="O9" i="12"/>
  <c r="M9" i="12"/>
  <c r="K9" i="12"/>
  <c r="H9" i="12"/>
  <c r="F9" i="12"/>
  <c r="D9" i="12"/>
  <c r="O8" i="12"/>
  <c r="M8" i="12"/>
  <c r="K8" i="12"/>
  <c r="H8" i="12"/>
  <c r="N8" i="12" s="1"/>
  <c r="F8" i="12"/>
  <c r="L8" i="12" s="1"/>
  <c r="D8" i="12"/>
  <c r="J8" i="12" s="1"/>
  <c r="O7" i="12"/>
  <c r="M7" i="12"/>
  <c r="K7" i="12"/>
  <c r="H7" i="12"/>
  <c r="F7" i="12"/>
  <c r="D7" i="12"/>
  <c r="O6" i="12"/>
  <c r="N6" i="12"/>
  <c r="M6" i="12"/>
  <c r="L6" i="12"/>
  <c r="K6" i="12"/>
  <c r="J6" i="12"/>
  <c r="N10" i="12" l="1"/>
  <c r="J10" i="12"/>
  <c r="L10" i="12"/>
  <c r="J22" i="12"/>
  <c r="J24" i="12"/>
  <c r="L22" i="12"/>
  <c r="L24" i="12"/>
  <c r="N22" i="12"/>
  <c r="J11" i="12"/>
  <c r="J9" i="12"/>
  <c r="N24" i="12"/>
  <c r="L9" i="12"/>
  <c r="J19" i="12"/>
  <c r="L19" i="12"/>
  <c r="N19" i="12"/>
  <c r="J20" i="12"/>
  <c r="L11" i="12"/>
  <c r="L20" i="12"/>
  <c r="N11" i="12"/>
  <c r="N20" i="12"/>
  <c r="J23" i="12"/>
  <c r="J21" i="12"/>
  <c r="L23" i="12"/>
  <c r="L21" i="12"/>
  <c r="N23" i="12"/>
  <c r="N21" i="12"/>
  <c r="E10" i="6" l="1"/>
  <c r="D10" i="6"/>
  <c r="C10" i="6"/>
</calcChain>
</file>

<file path=xl/sharedStrings.xml><?xml version="1.0" encoding="utf-8"?>
<sst xmlns="http://schemas.openxmlformats.org/spreadsheetml/2006/main" count="174" uniqueCount="96">
  <si>
    <t>Single</t>
  </si>
  <si>
    <t>Label</t>
  </si>
  <si>
    <t>W2 - box 1</t>
  </si>
  <si>
    <t>Taxable Interest</t>
  </si>
  <si>
    <t>Qualified Dividends</t>
  </si>
  <si>
    <t>Ordinary Dividends</t>
  </si>
  <si>
    <t>IRA Distributions</t>
  </si>
  <si>
    <t>Capital Gain</t>
  </si>
  <si>
    <t>Standard Deduction</t>
  </si>
  <si>
    <t>Year</t>
  </si>
  <si>
    <t>Taxable Income</t>
  </si>
  <si>
    <t>Age</t>
  </si>
  <si>
    <t>1040 2b</t>
  </si>
  <si>
    <t>1040 3a</t>
  </si>
  <si>
    <t>1040 3b</t>
  </si>
  <si>
    <t>1040 4b</t>
  </si>
  <si>
    <t>1040 7</t>
  </si>
  <si>
    <t>1040 13</t>
  </si>
  <si>
    <t>1040 15</t>
  </si>
  <si>
    <t>Form</t>
  </si>
  <si>
    <t>Traditional IRA</t>
  </si>
  <si>
    <t>Inherited IRA</t>
  </si>
  <si>
    <t>Accounts</t>
  </si>
  <si>
    <t xml:space="preserve"> https://www.irs.gov/pub/irs-prior/p590--2000.pdf</t>
  </si>
  <si>
    <t>Tab</t>
  </si>
  <si>
    <t>Topic</t>
  </si>
  <si>
    <t>Rule</t>
  </si>
  <si>
    <t>Guidance</t>
  </si>
  <si>
    <t>https://www.irs.gov/pub/irs-pdf/p590b.pdf</t>
  </si>
  <si>
    <t>The Uniform Lifetime Table3 is an IRS-provided chart used to calculate the annual Required Minimum Distributions (RMDs) from a tax deferred retirement account, starting at age 73, to avoid tax penalties. Table3 is used by unmarried IRA owners, married owners whose spouses aren't more than 10 years younger, and married owners whose spouses aren't the sole beneficiaries of their IRAs.</t>
  </si>
  <si>
    <t>T-UniformLifetime</t>
  </si>
  <si>
    <t xml:space="preserve"> Owner Birth Date</t>
  </si>
  <si>
    <t>Prior Owner Birth Date</t>
  </si>
  <si>
    <t>LEF_Year</t>
  </si>
  <si>
    <t>LEF</t>
  </si>
  <si>
    <t>Reference Data</t>
  </si>
  <si>
    <t xml:space="preserve"> Birth date of initial deceased owner.</t>
  </si>
  <si>
    <t>Future - Birth date of deceased owner who was a non-spouse beneficiary.</t>
  </si>
  <si>
    <t>For an inherited IRA on a schedule set prior to death, the Life Expectancy Factor (LEF) is retrieved from IRS Publication 590 for the initial year the deceased reached RMD age. For example, a person born in 1933 must withdrawal initial RMD in the year 2000 at 70.5 years old.  Per IRS p590, the LEF for a non-spouse beneficiary is 38.7. To estimate LEF for future years, decrease the LEF by 1 for each subsequent year.</t>
  </si>
  <si>
    <t>For an inherited IRA on a schedule set prior to death, the initial year an RMD was taken from the inherited account by the beneficiary. The calculation for future RMD is: EOY Balance / (LEF-(current year -initial beneficiary RMD year)). For this example: $100,000 / 38.7 - (2025 - 2007)).</t>
  </si>
  <si>
    <t>L-Single</t>
  </si>
  <si>
    <t>H-Single</t>
  </si>
  <si>
    <t>L-Head</t>
  </si>
  <si>
    <t>High-Head</t>
  </si>
  <si>
    <t>Tax Rate</t>
  </si>
  <si>
    <t>Ordinary Income</t>
  </si>
  <si>
    <t>R1</t>
  </si>
  <si>
    <t>R2</t>
  </si>
  <si>
    <t>R3</t>
  </si>
  <si>
    <t>R4</t>
  </si>
  <si>
    <t>R5</t>
  </si>
  <si>
    <t>R6</t>
  </si>
  <si>
    <t>Tax Type</t>
  </si>
  <si>
    <t>Alternative Minimum</t>
  </si>
  <si>
    <t>Long Term Gain</t>
  </si>
  <si>
    <t>L-Married</t>
  </si>
  <si>
    <t>H-Married</t>
  </si>
  <si>
    <t>Married</t>
  </si>
  <si>
    <t>Head</t>
  </si>
  <si>
    <t>High_Head</t>
  </si>
  <si>
    <t>LEF_2001</t>
  </si>
  <si>
    <t>Uniform_2001</t>
  </si>
  <si>
    <t>LEF_2002_2020</t>
  </si>
  <si>
    <t>Uniform_2002_2020</t>
  </si>
  <si>
    <t>LEF_2021_Present</t>
  </si>
  <si>
    <t>Uniform_2021_Present</t>
  </si>
  <si>
    <t>Low_Single</t>
  </si>
  <si>
    <t>High_Single</t>
  </si>
  <si>
    <t>Low_Married</t>
  </si>
  <si>
    <t>High_Married</t>
  </si>
  <si>
    <t>Low_Head</t>
  </si>
  <si>
    <t>1040 1z</t>
  </si>
  <si>
    <t>Pension -Annuity</t>
  </si>
  <si>
    <t>1040 5b</t>
  </si>
  <si>
    <t>Prior Year % Iincrease (Single, Married, Head)</t>
  </si>
  <si>
    <t>Prior Year Increase (S, M, H)</t>
  </si>
  <si>
    <t>https://taxfoundation.org/data/all/federal/2026-tax-brackets/</t>
  </si>
  <si>
    <t>S_PCT</t>
  </si>
  <si>
    <t>M_PCT</t>
  </si>
  <si>
    <t>H_PCT</t>
  </si>
  <si>
    <t>QD</t>
  </si>
  <si>
    <t>QD %</t>
  </si>
  <si>
    <t>OD%</t>
  </si>
  <si>
    <t>Interest %</t>
  </si>
  <si>
    <t>LTCG %</t>
  </si>
  <si>
    <t>Taxable Portfolio</t>
  </si>
  <si>
    <t>Yield Type</t>
  </si>
  <si>
    <t>Future Target</t>
  </si>
  <si>
    <t>Interest</t>
  </si>
  <si>
    <t>0.3–0.7%</t>
  </si>
  <si>
    <t>0.7–1.2%</t>
  </si>
  <si>
    <t>OD</t>
  </si>
  <si>
    <t>0.1–0.3%</t>
  </si>
  <si>
    <t>LTCG</t>
  </si>
  <si>
    <t>0–0.5%</t>
  </si>
  <si>
    <t>* Tax Efficient allocation for 60/40 Portfolio</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</si>
</sst>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_);[Red]\(&quot;$&quot;#,##0\)"/>
    <numFmt numFmtId="44" formatCode="_(&quot;$&quot;* #,##0.00_);_(&quot;$&quot;* \(#,##0.00\);_(&quot;$&quot;* &quot;-&quot;??_);_(@_)"/>
    <numFmt numFmtId="164" formatCode="&quot;$&quot;#,##0"/>
    <numFmt numFmtId="165" formatCode="&quot;$&quot;#,##0.00"/>
    <numFmt numFmtId="166" formatCode="0.0"/>
    <numFmt numFmtId="167" formatCode="0.0%"/>
  </numFmts>
  <fonts count="7" x14ac:knownFonts="1">
    <font>
      <sz val="11"/>
      <color theme="1"/>
      <name val="Calibri"/>
      <family val="2"/>
      <scheme val="minor"/>
    </font>
    <font>
      <sz val="11"/>
      <color theme="1"/>
      <name val="Calibri"/>
      <family val="2"/>
      <scheme val="minor"/>
    </font>
    <font>
      <sz val="11"/>
      <name val="Calibri"/>
      <family val="2"/>
      <scheme val="minor"/>
    </font>
    <font>
      <u/>
      <sz val="11"/>
      <color theme="10"/>
      <name val="Calibri"/>
      <family val="2"/>
      <scheme val="minor"/>
    </font>
    <font>
      <sz val="11"/>
      <color rgb="FF1B1B1B"/>
      <name val="Calibri"/>
      <family val="2"/>
      <scheme val="minor"/>
    </font>
    <font>
      <sz val="11"/>
      <color rgb="FF3F3F76"/>
      <name val="Calibri"/>
      <family val="2"/>
      <scheme val="minor"/>
    </font>
    <font>
      <b/>
      <sz val="11"/>
      <color rgb="FFFA7D00"/>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FFCC99"/>
      </patternFill>
    </fill>
    <fill>
      <patternFill patternType="solid">
        <fgColor rgb="FFF2F2F2"/>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44" fontId="1" fillId="0" borderId="0" applyFont="0" applyFill="0" applyBorder="0" applyAlignment="0" applyProtection="0"/>
    <xf numFmtId="0" fontId="3" fillId="0" borderId="0" applyNumberFormat="0" applyFill="0" applyBorder="0" applyAlignment="0" applyProtection="0"/>
    <xf numFmtId="0" fontId="5" fillId="3" borderId="1" applyNumberFormat="0" applyAlignment="0" applyProtection="0"/>
    <xf numFmtId="0" fontId="6" fillId="4" borderId="1" applyNumberFormat="0" applyAlignment="0" applyProtection="0"/>
  </cellStyleXfs>
  <cellXfs count="45">
    <xf numFmtId="0" fontId="0" fillId="0" borderId="0" xfId="0"/>
    <xf numFmtId="0" fontId="0" fillId="2" borderId="0" xfId="0" applyFill="1"/>
    <xf numFmtId="49" fontId="0" fillId="0" borderId="0" xfId="0" applyNumberFormat="1"/>
    <xf numFmtId="0" fontId="2" fillId="2" borderId="0" xfId="0" applyFont="1" applyFill="1" applyAlignment="1">
      <alignment horizontal="center"/>
    </xf>
    <xf numFmtId="49" fontId="2" fillId="2" borderId="0" xfId="0" applyNumberFormat="1" applyFont="1" applyFill="1" applyAlignment="1">
      <alignment horizontal="center"/>
    </xf>
    <xf numFmtId="165" fontId="0" fillId="0" borderId="0" xfId="1" applyNumberFormat="1" applyFont="1"/>
    <xf numFmtId="165" fontId="0" fillId="0" borderId="0" xfId="0" applyNumberFormat="1"/>
    <xf numFmtId="1" fontId="2" fillId="2" borderId="0" xfId="0" applyNumberFormat="1" applyFont="1" applyFill="1" applyAlignment="1">
      <alignment horizontal="center"/>
    </xf>
    <xf numFmtId="0" fontId="0" fillId="0" borderId="0" xfId="0" applyAlignment="1">
      <alignment wrapText="1"/>
    </xf>
    <xf numFmtId="0" fontId="3" fillId="0" borderId="0" xfId="2"/>
    <xf numFmtId="0" fontId="0" fillId="2" borderId="0" xfId="0" applyFill="1" applyAlignment="1">
      <alignment wrapText="1"/>
    </xf>
    <xf numFmtId="0" fontId="0" fillId="0" borderId="0" xfId="0" applyFill="1"/>
    <xf numFmtId="0" fontId="0" fillId="0" borderId="0" xfId="0" applyFill="1" applyAlignment="1">
      <alignment wrapText="1"/>
    </xf>
    <xf numFmtId="0" fontId="0" fillId="0" borderId="0" xfId="0" applyAlignment="1">
      <alignment horizontal="center"/>
    </xf>
    <xf numFmtId="166" fontId="0" fillId="0" borderId="0" xfId="0" applyNumberFormat="1" applyAlignment="1">
      <alignment horizontal="center"/>
    </xf>
    <xf numFmtId="1" fontId="0" fillId="2" borderId="0" xfId="0" applyNumberFormat="1" applyFont="1" applyFill="1"/>
    <xf numFmtId="9" fontId="0" fillId="2" borderId="0" xfId="0" applyNumberFormat="1" applyFont="1" applyFill="1"/>
    <xf numFmtId="164" fontId="0" fillId="2" borderId="0" xfId="0" applyNumberFormat="1" applyFont="1" applyFill="1"/>
    <xf numFmtId="1" fontId="0" fillId="0" borderId="0" xfId="0" applyNumberFormat="1" applyFont="1"/>
    <xf numFmtId="9" fontId="0" fillId="0" borderId="0" xfId="0" applyNumberFormat="1" applyFont="1"/>
    <xf numFmtId="164" fontId="0" fillId="0" borderId="0" xfId="0" applyNumberFormat="1" applyFont="1"/>
    <xf numFmtId="1" fontId="0" fillId="0" borderId="0" xfId="0" applyNumberFormat="1" applyFont="1" applyFill="1" applyBorder="1"/>
    <xf numFmtId="164" fontId="0" fillId="0" borderId="0" xfId="0" applyNumberFormat="1" applyFont="1" applyFill="1" applyBorder="1"/>
    <xf numFmtId="9" fontId="4" fillId="0" borderId="0" xfId="0" applyNumberFormat="1" applyFont="1" applyFill="1" applyBorder="1" applyAlignment="1">
      <alignment vertical="top" wrapText="1"/>
    </xf>
    <xf numFmtId="6" fontId="4" fillId="0" borderId="0" xfId="0" applyNumberFormat="1" applyFont="1" applyFill="1" applyBorder="1" applyAlignment="1">
      <alignment vertical="top" wrapText="1"/>
    </xf>
    <xf numFmtId="10" fontId="0" fillId="2" borderId="0" xfId="0" applyNumberFormat="1" applyFont="1" applyFill="1"/>
    <xf numFmtId="10" fontId="0" fillId="0" borderId="0" xfId="0" applyNumberFormat="1" applyFont="1"/>
    <xf numFmtId="49" fontId="0" fillId="2" borderId="0" xfId="0" applyNumberFormat="1" applyFont="1" applyFill="1"/>
    <xf numFmtId="49" fontId="0" fillId="0" borderId="0" xfId="0" applyNumberFormat="1" applyFont="1"/>
    <xf numFmtId="167" fontId="0" fillId="0" borderId="0" xfId="0" applyNumberFormat="1" applyFont="1"/>
    <xf numFmtId="1" fontId="0" fillId="0" borderId="0" xfId="0" applyNumberFormat="1" applyFont="1" applyFill="1"/>
    <xf numFmtId="164" fontId="0" fillId="0" borderId="0" xfId="0" applyNumberFormat="1" applyFont="1" applyFill="1"/>
    <xf numFmtId="164" fontId="6" fillId="4" borderId="1" xfId="4" applyNumberFormat="1"/>
    <xf numFmtId="164" fontId="5" fillId="3" borderId="1" xfId="3" applyNumberFormat="1"/>
    <xf numFmtId="1" fontId="5" fillId="3" borderId="1" xfId="3" applyNumberFormat="1"/>
    <xf numFmtId="49" fontId="5" fillId="3" borderId="1" xfId="3" applyNumberFormat="1"/>
    <xf numFmtId="167" fontId="5" fillId="3" borderId="1" xfId="3" applyNumberFormat="1"/>
    <xf numFmtId="10" fontId="5" fillId="3" borderId="1" xfId="3" applyNumberFormat="1"/>
    <xf numFmtId="10" fontId="6" fillId="4" borderId="1" xfId="4" applyNumberFormat="1"/>
    <xf numFmtId="1" fontId="0" fillId="2" borderId="0" xfId="0" applyNumberFormat="1" applyFont="1" applyFill="1" applyAlignment="1">
      <alignment wrapText="1"/>
    </xf>
    <xf numFmtId="164" fontId="0" fillId="2" borderId="0" xfId="0" applyNumberFormat="1" applyFont="1" applyFill="1" applyAlignment="1">
      <alignment wrapText="1"/>
    </xf>
    <xf numFmtId="10" fontId="0" fillId="2" borderId="0" xfId="0" applyNumberFormat="1" applyFont="1" applyFill="1" applyAlignment="1">
      <alignment wrapText="1"/>
    </xf>
    <xf numFmtId="3" fontId="0" fillId="0" borderId="0" xfId="0" applyNumberFormat="1"/>
    <xf numFmtId="10" fontId="2" fillId="2" borderId="0" xfId="0" applyNumberFormat="1" applyFont="1" applyFill="1" applyAlignment="1">
      <alignment horizontal="center"/>
    </xf>
    <xf numFmtId="10" fontId="0" fillId="0" borderId="0" xfId="0" applyNumberFormat="1"/>
  </cellXfs>
  <cellStyles count="5">
    <cellStyle name="Calculation" xfId="4" builtinId="22"/>
    <cellStyle name="Currency" xfId="1" builtinId="4"/>
    <cellStyle name="Hyperlink" xfId="2" builtinId="8"/>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hyperlink" Target="https://www.irs.gov/pub/irs-pdf/p590b.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hyperlink" Target="https://taxfoundation.org/data/all/federal/2026-tax-bracke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1" topLeftCell="A2" activePane="bottomLeft" state="frozen"/>
      <selection pane="bottomLeft" activeCell="B1" sqref="B1"/>
    </sheetView>
  </sheetViews>
  <sheetFormatPr defaultRowHeight="15" x14ac:dyDescent="0.25"/>
  <cols>
    <col min="1" max="1" width="7.140625" style="18" bestFit="1" customWidth="1"/>
    <col min="2" max="2" width="20.28515625" style="28" bestFit="1" customWidth="1"/>
    <col min="3" max="3" width="13.28515625" style="20" bestFit="1" customWidth="1"/>
    <col min="4" max="4" width="13.7109375" style="20" bestFit="1" customWidth="1"/>
    <col min="5" max="5" width="14.85546875" style="20" bestFit="1" customWidth="1"/>
    <col min="6" max="6" width="15.42578125" style="20" bestFit="1" customWidth="1"/>
    <col min="7" max="16384" width="9.140625" style="20"/>
  </cols>
  <sheetData>
    <row r="1" spans="1:7" s="17" customFormat="1" x14ac:dyDescent="0.25">
      <c r="A1" s="15" t="s">
        <v>9</v>
      </c>
      <c r="B1" s="27" t="s">
        <v>52</v>
      </c>
      <c r="C1" s="17" t="s">
        <v>66</v>
      </c>
      <c r="D1" s="17" t="s">
        <v>67</v>
      </c>
      <c r="E1" s="17" t="s">
        <v>68</v>
      </c>
      <c r="F1" s="17" t="s">
        <v>69</v>
      </c>
    </row>
    <row r="2" spans="1:7" x14ac:dyDescent="0.25">
      <c r="A2" s="18">
        <v>2025</v>
      </c>
      <c r="B2" s="28" t="s">
        <v>53</v>
      </c>
      <c r="C2" s="20">
        <v>88100</v>
      </c>
      <c r="D2" s="20">
        <v>626350</v>
      </c>
      <c r="E2" s="20">
        <v>137000</v>
      </c>
      <c r="F2" s="20">
        <v>1252700</v>
      </c>
    </row>
    <row r="10" spans="1:7" x14ac:dyDescent="0.25">
      <c r="A10" s="21"/>
      <c r="G10" s="26"/>
    </row>
  </sheetData>
  <autoFilter ref="A1:F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abSelected="1" zoomScaleNormal="100" workbookViewId="0">
      <pane ySplit="1" topLeftCell="A2" activePane="bottomLeft" state="frozen"/>
      <selection pane="bottomLeft" activeCell="G4" sqref="G4"/>
    </sheetView>
  </sheetViews>
  <sheetFormatPr defaultRowHeight="15" x14ac:dyDescent="0.25"/>
  <cols>
    <col min="1" max="1" width="9.140625" style="18" bestFit="1" customWidth="1"/>
    <col min="2" max="2" width="13.140625" style="18" bestFit="1" customWidth="1"/>
    <col min="3" max="3" width="10.7109375" style="26" customWidth="1"/>
    <col min="4" max="6" width="10.7109375" style="20" customWidth="1"/>
    <col min="7" max="9" width="10.7109375" style="26" customWidth="1"/>
    <col min="10" max="16384" width="9.140625" style="20"/>
  </cols>
  <sheetData>
    <row r="1" spans="1:9" s="17" customFormat="1" x14ac:dyDescent="0.25">
      <c r="A1" s="15" t="s">
        <v>9</v>
      </c>
      <c r="B1" s="27" t="s">
        <v>52</v>
      </c>
      <c r="C1" s="25" t="s">
        <v>44</v>
      </c>
      <c r="D1" s="17" t="s">
        <v>0</v>
      </c>
      <c r="E1" s="17" t="s">
        <v>57</v>
      </c>
      <c r="F1" s="17" t="s">
        <v>58</v>
      </c>
      <c r="G1" s="25" t="s">
        <v>74</v>
      </c>
      <c r="H1" s="25"/>
      <c r="I1" s="25"/>
    </row>
    <row r="2" spans="1:9" x14ac:dyDescent="0.25">
      <c r="A2" s="34">
        <v>2026</v>
      </c>
      <c r="B2" s="34" t="s">
        <v>7</v>
      </c>
      <c r="C2" s="37">
        <v>0</v>
      </c>
      <c r="D2" s="33">
        <v>0</v>
      </c>
      <c r="E2" s="33">
        <v>0</v>
      </c>
      <c r="F2" s="33">
        <v>0</v>
      </c>
      <c r="G2" s="38" t="str">
        <f>IF(D2=0,"",(D2/D5-1))</f>
        <v/>
      </c>
      <c r="H2" s="38" t="str">
        <f t="shared" ref="H2:I4" si="0">IF(E2=0,"",(E2/E5-1))</f>
        <v/>
      </c>
      <c r="I2" s="38" t="str">
        <f t="shared" si="0"/>
        <v/>
      </c>
    </row>
    <row r="3" spans="1:9" x14ac:dyDescent="0.25">
      <c r="A3" s="18">
        <v>2026</v>
      </c>
      <c r="B3" s="18" t="s">
        <v>7</v>
      </c>
      <c r="C3" s="26">
        <v>0.15</v>
      </c>
      <c r="D3" s="33">
        <v>49450</v>
      </c>
      <c r="E3" s="33">
        <v>98900</v>
      </c>
      <c r="F3" s="33">
        <v>66200</v>
      </c>
      <c r="G3" s="38">
        <f t="shared" ref="G3:G4" si="1">IF(D3=0,"",(D3/D6-1))</f>
        <v>2.2750775594622574E-2</v>
      </c>
      <c r="H3" s="38">
        <f t="shared" si="0"/>
        <v>2.2750775594622574E-2</v>
      </c>
      <c r="I3" s="38">
        <f t="shared" si="0"/>
        <v>2.2393822393822482E-2</v>
      </c>
    </row>
    <row r="4" spans="1:9" x14ac:dyDescent="0.25">
      <c r="A4" s="18">
        <v>2026</v>
      </c>
      <c r="B4" s="18" t="s">
        <v>7</v>
      </c>
      <c r="C4" s="26">
        <v>0.2</v>
      </c>
      <c r="D4" s="33">
        <v>545500</v>
      </c>
      <c r="E4" s="33">
        <v>613700</v>
      </c>
      <c r="F4" s="33">
        <v>579600</v>
      </c>
      <c r="G4" s="38">
        <f t="shared" si="1"/>
        <v>2.2684664416947831E-2</v>
      </c>
      <c r="H4" s="38">
        <f t="shared" si="0"/>
        <v>2.2748104324639584E-2</v>
      </c>
      <c r="I4" s="38">
        <f t="shared" si="0"/>
        <v>2.276336686077296E-2</v>
      </c>
    </row>
    <row r="5" spans="1:9" x14ac:dyDescent="0.25">
      <c r="A5" s="34">
        <v>2025</v>
      </c>
      <c r="B5" s="34" t="s">
        <v>7</v>
      </c>
      <c r="C5" s="37">
        <v>0</v>
      </c>
      <c r="D5" s="33">
        <v>0</v>
      </c>
      <c r="E5" s="33">
        <v>0</v>
      </c>
      <c r="F5" s="33">
        <v>0</v>
      </c>
      <c r="G5" s="38"/>
      <c r="H5" s="38"/>
      <c r="I5" s="38"/>
    </row>
    <row r="6" spans="1:9" x14ac:dyDescent="0.25">
      <c r="A6" s="18">
        <v>2025</v>
      </c>
      <c r="B6" s="18" t="s">
        <v>7</v>
      </c>
      <c r="C6" s="37">
        <v>0.15</v>
      </c>
      <c r="D6" s="33">
        <v>48350</v>
      </c>
      <c r="E6" s="33">
        <v>96700</v>
      </c>
      <c r="F6" s="33">
        <v>64750</v>
      </c>
      <c r="G6" s="38"/>
      <c r="H6" s="38"/>
      <c r="I6" s="38"/>
    </row>
    <row r="7" spans="1:9" x14ac:dyDescent="0.25">
      <c r="A7" s="18">
        <v>2025</v>
      </c>
      <c r="B7" s="18" t="s">
        <v>7</v>
      </c>
      <c r="C7" s="37">
        <v>0.2</v>
      </c>
      <c r="D7" s="33">
        <v>533400</v>
      </c>
      <c r="E7" s="33">
        <v>600050</v>
      </c>
      <c r="F7" s="33">
        <v>566700</v>
      </c>
      <c r="G7" s="38"/>
      <c r="H7" s="38"/>
      <c r="I7" s="38"/>
    </row>
    <row r="13" spans="1:9" x14ac:dyDescent="0.25">
      <c r="A13" s="21"/>
      <c r="B13" s="21"/>
      <c r="C13" s="29"/>
    </row>
    <row r="14" spans="1:9" x14ac:dyDescent="0.25">
      <c r="C14" s="29"/>
    </row>
  </sheetData>
  <autoFilter ref="A1:F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zoomScale="120" zoomScaleNormal="120" workbookViewId="0">
      <pane ySplit="1" topLeftCell="A2" activePane="bottomLeft" state="frozen"/>
      <selection pane="bottomLeft" activeCell="B28" sqref="B28"/>
    </sheetView>
  </sheetViews>
  <sheetFormatPr defaultRowHeight="15" x14ac:dyDescent="0.25"/>
  <cols>
    <col min="1" max="1" width="7.140625" style="18" bestFit="1" customWidth="1"/>
    <col min="2" max="2" width="15.85546875" style="28" bestFit="1" customWidth="1"/>
    <col min="3" max="3" width="10.7109375" style="26" customWidth="1"/>
    <col min="4" max="12" width="10.7109375" style="20" customWidth="1"/>
    <col min="13" max="16384" width="9.140625" style="20"/>
  </cols>
  <sheetData>
    <row r="1" spans="1:12" s="17" customFormat="1" x14ac:dyDescent="0.25">
      <c r="A1" s="15" t="s">
        <v>9</v>
      </c>
      <c r="B1" s="27" t="s">
        <v>52</v>
      </c>
      <c r="C1" s="25" t="s">
        <v>44</v>
      </c>
      <c r="D1" s="17" t="s">
        <v>66</v>
      </c>
      <c r="E1" s="17" t="s">
        <v>67</v>
      </c>
      <c r="F1" s="17" t="s">
        <v>68</v>
      </c>
      <c r="G1" s="17" t="s">
        <v>69</v>
      </c>
      <c r="H1" s="17" t="s">
        <v>70</v>
      </c>
      <c r="I1" s="17" t="s">
        <v>59</v>
      </c>
      <c r="J1" s="17" t="s">
        <v>75</v>
      </c>
    </row>
    <row r="2" spans="1:12" x14ac:dyDescent="0.25">
      <c r="A2" s="34">
        <v>2026</v>
      </c>
      <c r="B2" s="35" t="s">
        <v>45</v>
      </c>
      <c r="C2" s="36">
        <v>0.1</v>
      </c>
      <c r="D2" s="33">
        <v>0</v>
      </c>
      <c r="E2" s="33">
        <v>12400</v>
      </c>
      <c r="F2" s="33">
        <v>0</v>
      </c>
      <c r="G2" s="33">
        <v>24800</v>
      </c>
      <c r="H2" s="33">
        <v>0</v>
      </c>
      <c r="I2" s="33">
        <v>17700</v>
      </c>
      <c r="J2" s="38">
        <f t="shared" ref="J2:J8" si="0">IF(E2=-1,"",(E2/E10)-1)</f>
        <v>3.98322851153039E-2</v>
      </c>
      <c r="K2" s="38">
        <f t="shared" ref="K2:K8" si="1">IF(G2=-1,"",(G2/G10)-1)</f>
        <v>3.98322851153039E-2</v>
      </c>
      <c r="L2" s="38">
        <f t="shared" ref="L2:L8" si="2">IF(I2=-1,"",(I2/I10)-1)</f>
        <v>4.117647058823537E-2</v>
      </c>
    </row>
    <row r="3" spans="1:12" x14ac:dyDescent="0.25">
      <c r="A3" s="21">
        <v>2026</v>
      </c>
      <c r="B3" s="28" t="s">
        <v>45</v>
      </c>
      <c r="C3" s="29">
        <v>0.12</v>
      </c>
      <c r="D3" s="32">
        <f>E2+1</f>
        <v>12401</v>
      </c>
      <c r="E3" s="33">
        <v>50400</v>
      </c>
      <c r="F3" s="32">
        <f>G2+1</f>
        <v>24801</v>
      </c>
      <c r="G3" s="33">
        <v>100800</v>
      </c>
      <c r="H3" s="32">
        <f>I2+1</f>
        <v>17701</v>
      </c>
      <c r="I3" s="33">
        <v>67450</v>
      </c>
      <c r="J3" s="38">
        <f t="shared" si="0"/>
        <v>3.971119133573997E-2</v>
      </c>
      <c r="K3" s="38">
        <f t="shared" si="1"/>
        <v>3.971119133573997E-2</v>
      </c>
      <c r="L3" s="38">
        <f t="shared" si="2"/>
        <v>4.0092521202775622E-2</v>
      </c>
    </row>
    <row r="4" spans="1:12" x14ac:dyDescent="0.25">
      <c r="A4" s="21">
        <v>2026</v>
      </c>
      <c r="B4" s="28" t="s">
        <v>45</v>
      </c>
      <c r="C4" s="26">
        <v>0.22</v>
      </c>
      <c r="D4" s="32">
        <f t="shared" ref="D4:D8" si="3">E3+1</f>
        <v>50401</v>
      </c>
      <c r="E4" s="33">
        <v>105700</v>
      </c>
      <c r="F4" s="32">
        <f t="shared" ref="F4:F8" si="4">G3+1</f>
        <v>100801</v>
      </c>
      <c r="G4" s="33">
        <v>211400</v>
      </c>
      <c r="H4" s="32">
        <f t="shared" ref="H4:H8" si="5">I3+1</f>
        <v>67451</v>
      </c>
      <c r="I4" s="33">
        <v>105700</v>
      </c>
      <c r="J4" s="38">
        <f t="shared" si="0"/>
        <v>2.2738268021286867E-2</v>
      </c>
      <c r="K4" s="38">
        <f t="shared" si="1"/>
        <v>2.2738268021286867E-2</v>
      </c>
      <c r="L4" s="38">
        <f t="shared" si="2"/>
        <v>2.2738268021286867E-2</v>
      </c>
    </row>
    <row r="5" spans="1:12" x14ac:dyDescent="0.25">
      <c r="A5" s="21">
        <v>2026</v>
      </c>
      <c r="B5" s="28" t="s">
        <v>45</v>
      </c>
      <c r="C5" s="26">
        <v>0.24</v>
      </c>
      <c r="D5" s="32">
        <f t="shared" si="3"/>
        <v>105701</v>
      </c>
      <c r="E5" s="33">
        <v>201775</v>
      </c>
      <c r="F5" s="32">
        <f t="shared" si="4"/>
        <v>211401</v>
      </c>
      <c r="G5" s="33">
        <v>403550</v>
      </c>
      <c r="H5" s="32">
        <f t="shared" si="5"/>
        <v>105701</v>
      </c>
      <c r="I5" s="33">
        <v>201750</v>
      </c>
      <c r="J5" s="38">
        <f t="shared" si="0"/>
        <v>2.2681196147998017E-2</v>
      </c>
      <c r="K5" s="38">
        <f t="shared" si="1"/>
        <v>2.2681196147998017E-2</v>
      </c>
      <c r="L5" s="38">
        <f t="shared" si="2"/>
        <v>2.2554485554992398E-2</v>
      </c>
    </row>
    <row r="6" spans="1:12" x14ac:dyDescent="0.25">
      <c r="A6" s="21">
        <v>2026</v>
      </c>
      <c r="B6" s="28" t="s">
        <v>45</v>
      </c>
      <c r="C6" s="26">
        <v>0.32</v>
      </c>
      <c r="D6" s="32">
        <f t="shared" si="3"/>
        <v>201776</v>
      </c>
      <c r="E6" s="33">
        <v>256226</v>
      </c>
      <c r="F6" s="32">
        <f t="shared" si="4"/>
        <v>403551</v>
      </c>
      <c r="G6" s="33">
        <v>512450</v>
      </c>
      <c r="H6" s="32">
        <f t="shared" si="5"/>
        <v>201751</v>
      </c>
      <c r="I6" s="33">
        <v>256200</v>
      </c>
      <c r="J6" s="38">
        <f t="shared" si="0"/>
        <v>2.2756211954894745E-2</v>
      </c>
      <c r="K6" s="38">
        <f t="shared" si="1"/>
        <v>2.2752220337291629E-2</v>
      </c>
      <c r="L6" s="38">
        <f t="shared" si="2"/>
        <v>2.2754491017964007E-2</v>
      </c>
    </row>
    <row r="7" spans="1:12" x14ac:dyDescent="0.25">
      <c r="A7" s="21">
        <v>2026</v>
      </c>
      <c r="B7" s="28" t="s">
        <v>45</v>
      </c>
      <c r="C7" s="26">
        <v>0.35</v>
      </c>
      <c r="D7" s="32">
        <f t="shared" si="3"/>
        <v>256227</v>
      </c>
      <c r="E7" s="33">
        <v>640600</v>
      </c>
      <c r="F7" s="32">
        <f t="shared" si="4"/>
        <v>512451</v>
      </c>
      <c r="G7" s="33">
        <v>768700</v>
      </c>
      <c r="H7" s="32">
        <f t="shared" si="5"/>
        <v>256201</v>
      </c>
      <c r="I7" s="33">
        <v>640600</v>
      </c>
      <c r="J7" s="38">
        <f t="shared" si="0"/>
        <v>2.2750858146403763E-2</v>
      </c>
      <c r="K7" s="38">
        <f t="shared" si="1"/>
        <v>2.2751463544438577E-2</v>
      </c>
      <c r="L7" s="38">
        <f t="shared" si="2"/>
        <v>2.2750858146403763E-2</v>
      </c>
    </row>
    <row r="8" spans="1:12" x14ac:dyDescent="0.25">
      <c r="A8" s="21">
        <v>2026</v>
      </c>
      <c r="B8" s="28" t="s">
        <v>45</v>
      </c>
      <c r="C8" s="26">
        <v>0.37</v>
      </c>
      <c r="D8" s="32">
        <f t="shared" si="3"/>
        <v>640601</v>
      </c>
      <c r="E8" s="33">
        <v>-1</v>
      </c>
      <c r="F8" s="32">
        <f t="shared" si="4"/>
        <v>768701</v>
      </c>
      <c r="G8" s="33">
        <v>-1</v>
      </c>
      <c r="H8" s="32">
        <f t="shared" si="5"/>
        <v>640601</v>
      </c>
      <c r="I8" s="33">
        <v>-1</v>
      </c>
      <c r="J8" s="38" t="str">
        <f t="shared" si="0"/>
        <v/>
      </c>
      <c r="K8" s="38" t="str">
        <f t="shared" si="1"/>
        <v/>
      </c>
      <c r="L8" s="38" t="str">
        <f t="shared" si="2"/>
        <v/>
      </c>
    </row>
    <row r="9" spans="1:12" x14ac:dyDescent="0.25">
      <c r="A9" s="21"/>
      <c r="D9"/>
      <c r="E9"/>
      <c r="F9"/>
      <c r="G9"/>
      <c r="H9"/>
      <c r="I9"/>
    </row>
    <row r="10" spans="1:12" x14ac:dyDescent="0.25">
      <c r="A10" s="34">
        <v>2025</v>
      </c>
      <c r="B10" s="35" t="s">
        <v>45</v>
      </c>
      <c r="C10" s="36">
        <v>0.1</v>
      </c>
      <c r="D10" s="33">
        <v>0</v>
      </c>
      <c r="E10" s="33">
        <v>11925</v>
      </c>
      <c r="F10" s="33">
        <v>0</v>
      </c>
      <c r="G10" s="33">
        <v>23850</v>
      </c>
      <c r="H10" s="33">
        <v>0</v>
      </c>
      <c r="I10" s="33">
        <v>17000</v>
      </c>
    </row>
    <row r="11" spans="1:12" x14ac:dyDescent="0.25">
      <c r="A11" s="18">
        <v>2025</v>
      </c>
      <c r="B11" s="28" t="s">
        <v>45</v>
      </c>
      <c r="C11" s="29">
        <v>0.12</v>
      </c>
      <c r="D11" s="32">
        <f>E10+1</f>
        <v>11926</v>
      </c>
      <c r="E11" s="33">
        <v>48475</v>
      </c>
      <c r="F11" s="32">
        <f>G10+1</f>
        <v>23851</v>
      </c>
      <c r="G11" s="33">
        <v>96950</v>
      </c>
      <c r="H11" s="32">
        <f>I10+1</f>
        <v>17001</v>
      </c>
      <c r="I11" s="33">
        <v>64850</v>
      </c>
    </row>
    <row r="12" spans="1:12" x14ac:dyDescent="0.25">
      <c r="A12" s="18">
        <v>2025</v>
      </c>
      <c r="B12" s="28" t="s">
        <v>45</v>
      </c>
      <c r="C12" s="26">
        <v>0.22</v>
      </c>
      <c r="D12" s="32">
        <f t="shared" ref="D12:D16" si="6">E11+1</f>
        <v>48476</v>
      </c>
      <c r="E12" s="33">
        <v>103350</v>
      </c>
      <c r="F12" s="32">
        <f>G11+1</f>
        <v>96951</v>
      </c>
      <c r="G12" s="33">
        <v>206700</v>
      </c>
      <c r="H12" s="32">
        <f t="shared" ref="H12:H16" si="7">I11+1</f>
        <v>64851</v>
      </c>
      <c r="I12" s="33">
        <v>103350</v>
      </c>
    </row>
    <row r="13" spans="1:12" x14ac:dyDescent="0.25">
      <c r="A13" s="18">
        <v>2025</v>
      </c>
      <c r="B13" s="28" t="s">
        <v>45</v>
      </c>
      <c r="C13" s="26">
        <v>0.24</v>
      </c>
      <c r="D13" s="32">
        <f t="shared" si="6"/>
        <v>103351</v>
      </c>
      <c r="E13" s="33">
        <v>197300</v>
      </c>
      <c r="F13" s="32">
        <f t="shared" ref="F13:F16" si="8">G12+1</f>
        <v>206701</v>
      </c>
      <c r="G13" s="33">
        <v>394600</v>
      </c>
      <c r="H13" s="32">
        <f t="shared" si="7"/>
        <v>103351</v>
      </c>
      <c r="I13" s="33">
        <v>197300</v>
      </c>
    </row>
    <row r="14" spans="1:12" x14ac:dyDescent="0.25">
      <c r="A14" s="18">
        <v>2025</v>
      </c>
      <c r="B14" s="28" t="s">
        <v>45</v>
      </c>
      <c r="C14" s="26">
        <v>0.32</v>
      </c>
      <c r="D14" s="32">
        <f t="shared" si="6"/>
        <v>197301</v>
      </c>
      <c r="E14" s="33">
        <v>250525</v>
      </c>
      <c r="F14" s="32">
        <f t="shared" si="8"/>
        <v>394601</v>
      </c>
      <c r="G14" s="33">
        <v>501050</v>
      </c>
      <c r="H14" s="32">
        <f t="shared" si="7"/>
        <v>197301</v>
      </c>
      <c r="I14" s="33">
        <v>250500</v>
      </c>
    </row>
    <row r="15" spans="1:12" x14ac:dyDescent="0.25">
      <c r="A15" s="18">
        <v>2025</v>
      </c>
      <c r="B15" s="28" t="s">
        <v>45</v>
      </c>
      <c r="C15" s="26">
        <v>0.35</v>
      </c>
      <c r="D15" s="32">
        <f t="shared" si="6"/>
        <v>250526</v>
      </c>
      <c r="E15" s="33">
        <v>626350</v>
      </c>
      <c r="F15" s="32">
        <f t="shared" si="8"/>
        <v>501051</v>
      </c>
      <c r="G15" s="33">
        <v>751600</v>
      </c>
      <c r="H15" s="32">
        <f t="shared" si="7"/>
        <v>250501</v>
      </c>
      <c r="I15" s="33">
        <v>626350</v>
      </c>
    </row>
    <row r="16" spans="1:12" x14ac:dyDescent="0.25">
      <c r="A16" s="18">
        <v>2025</v>
      </c>
      <c r="B16" s="28" t="s">
        <v>45</v>
      </c>
      <c r="C16" s="26">
        <v>0.37</v>
      </c>
      <c r="D16" s="32">
        <f t="shared" si="6"/>
        <v>626351</v>
      </c>
      <c r="E16" s="33">
        <v>-1</v>
      </c>
      <c r="F16" s="32">
        <f t="shared" si="8"/>
        <v>751601</v>
      </c>
      <c r="G16" s="33">
        <v>-1</v>
      </c>
      <c r="H16" s="32">
        <f t="shared" si="7"/>
        <v>626351</v>
      </c>
      <c r="I16" s="33">
        <v>-1</v>
      </c>
    </row>
  </sheetData>
  <autoFilter ref="A1:I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ySplit="1" topLeftCell="A2" activePane="bottomLeft" state="frozen"/>
      <selection pane="bottomLeft" activeCell="F2" sqref="F2"/>
    </sheetView>
  </sheetViews>
  <sheetFormatPr defaultRowHeight="15" x14ac:dyDescent="0.25"/>
  <cols>
    <col min="1" max="1" width="7.140625" style="18" bestFit="1" customWidth="1"/>
    <col min="2" max="2" width="18.85546875" style="18" customWidth="1"/>
    <col min="3" max="5" width="10.7109375" style="20" customWidth="1"/>
    <col min="6" max="6" width="10.7109375" style="26" customWidth="1"/>
    <col min="7" max="8" width="10.7109375" style="20" customWidth="1"/>
    <col min="9" max="9" width="10.7109375" style="26" customWidth="1"/>
    <col min="10" max="12" width="9.140625" style="26"/>
    <col min="13" max="16384" width="9.140625" style="20"/>
  </cols>
  <sheetData>
    <row r="1" spans="1:12" s="40" customFormat="1" x14ac:dyDescent="0.25">
      <c r="A1" s="39" t="s">
        <v>9</v>
      </c>
      <c r="B1" s="39" t="s">
        <v>52</v>
      </c>
      <c r="C1" s="40" t="s">
        <v>0</v>
      </c>
      <c r="D1" s="40" t="s">
        <v>57</v>
      </c>
      <c r="E1" s="40" t="s">
        <v>58</v>
      </c>
      <c r="F1" s="41" t="s">
        <v>77</v>
      </c>
      <c r="G1" s="40" t="s">
        <v>78</v>
      </c>
      <c r="H1" s="40" t="s">
        <v>79</v>
      </c>
      <c r="I1" s="41"/>
      <c r="J1" s="41"/>
      <c r="K1" s="41"/>
      <c r="L1" s="41"/>
    </row>
    <row r="2" spans="1:12" s="31" customFormat="1" x14ac:dyDescent="0.25">
      <c r="A2" s="30">
        <v>2026</v>
      </c>
      <c r="B2" s="30" t="s">
        <v>8</v>
      </c>
      <c r="C2" s="33">
        <f>16100</f>
        <v>16100</v>
      </c>
      <c r="D2" s="33">
        <v>32200</v>
      </c>
      <c r="E2" s="33">
        <v>24150</v>
      </c>
      <c r="F2" s="38">
        <f t="shared" ref="F2:F7" si="0">IF(C3="",0,(C2/C3)-1)</f>
        <v>2.2222222222222143E-2</v>
      </c>
      <c r="G2" s="38">
        <f t="shared" ref="G2:H7" si="1">IF(D3="",0,(D2/D3)-1)</f>
        <v>2.2222222222222143E-2</v>
      </c>
      <c r="H2" s="38">
        <f t="shared" si="1"/>
        <v>2.2222222222222143E-2</v>
      </c>
      <c r="I2"/>
      <c r="J2"/>
      <c r="K2"/>
      <c r="L2"/>
    </row>
    <row r="3" spans="1:12" x14ac:dyDescent="0.25">
      <c r="A3" s="21">
        <v>2025</v>
      </c>
      <c r="B3" s="21" t="s">
        <v>8</v>
      </c>
      <c r="C3" s="33">
        <v>15750</v>
      </c>
      <c r="D3" s="33">
        <v>31500</v>
      </c>
      <c r="E3" s="33">
        <v>23625</v>
      </c>
      <c r="F3" s="38">
        <f t="shared" si="0"/>
        <v>7.8767123287671215E-2</v>
      </c>
      <c r="G3" s="38">
        <f t="shared" si="1"/>
        <v>7.8767123287671215E-2</v>
      </c>
      <c r="H3" s="38">
        <f t="shared" si="1"/>
        <v>7.8767123287671215E-2</v>
      </c>
    </row>
    <row r="4" spans="1:12" x14ac:dyDescent="0.25">
      <c r="A4" s="18">
        <v>2024</v>
      </c>
      <c r="B4" s="21" t="s">
        <v>8</v>
      </c>
      <c r="C4" s="34">
        <v>14600</v>
      </c>
      <c r="D4" s="33">
        <v>29200</v>
      </c>
      <c r="E4" s="33">
        <v>21900</v>
      </c>
      <c r="F4" s="38">
        <f t="shared" si="0"/>
        <v>5.4151624548736566E-2</v>
      </c>
      <c r="G4" s="38">
        <f t="shared" si="1"/>
        <v>5.4151624548736566E-2</v>
      </c>
      <c r="H4" s="38">
        <f t="shared" si="1"/>
        <v>5.2884615384615419E-2</v>
      </c>
    </row>
    <row r="5" spans="1:12" x14ac:dyDescent="0.25">
      <c r="A5" s="18">
        <v>2023</v>
      </c>
      <c r="B5" s="21" t="s">
        <v>8</v>
      </c>
      <c r="C5" s="34">
        <v>13850</v>
      </c>
      <c r="D5" s="33">
        <v>27700</v>
      </c>
      <c r="E5" s="33">
        <v>20800</v>
      </c>
      <c r="F5" s="38">
        <f t="shared" si="0"/>
        <v>6.9498069498069581E-2</v>
      </c>
      <c r="G5" s="38">
        <f t="shared" si="1"/>
        <v>6.9498069498069581E-2</v>
      </c>
      <c r="H5" s="38">
        <f t="shared" si="1"/>
        <v>7.2164948453608213E-2</v>
      </c>
    </row>
    <row r="6" spans="1:12" x14ac:dyDescent="0.25">
      <c r="A6" s="18">
        <v>2022</v>
      </c>
      <c r="B6" s="21" t="s">
        <v>8</v>
      </c>
      <c r="C6" s="34">
        <v>12950</v>
      </c>
      <c r="D6" s="33">
        <v>25900</v>
      </c>
      <c r="E6" s="33">
        <v>19400</v>
      </c>
      <c r="F6" s="38">
        <f t="shared" si="0"/>
        <v>3.1872509960159334E-2</v>
      </c>
      <c r="G6" s="38">
        <f t="shared" si="1"/>
        <v>3.1872509960159334E-2</v>
      </c>
      <c r="H6" s="38">
        <f t="shared" si="1"/>
        <v>3.1914893617021267E-2</v>
      </c>
    </row>
    <row r="7" spans="1:12" x14ac:dyDescent="0.25">
      <c r="A7" s="18">
        <v>2021</v>
      </c>
      <c r="B7" s="21" t="s">
        <v>8</v>
      </c>
      <c r="C7" s="34">
        <v>12550</v>
      </c>
      <c r="D7" s="33">
        <v>25100</v>
      </c>
      <c r="E7" s="33">
        <v>18800</v>
      </c>
      <c r="F7" s="38">
        <f t="shared" si="0"/>
        <v>1.2096774193548487E-2</v>
      </c>
      <c r="G7" s="38">
        <f t="shared" si="1"/>
        <v>1.2096774193548487E-2</v>
      </c>
      <c r="H7" s="38">
        <f t="shared" si="1"/>
        <v>8.0428954423592547E-3</v>
      </c>
    </row>
    <row r="8" spans="1:12" x14ac:dyDescent="0.25">
      <c r="A8" s="18">
        <v>2020</v>
      </c>
      <c r="B8" s="21" t="s">
        <v>8</v>
      </c>
      <c r="C8" s="34">
        <v>12400</v>
      </c>
      <c r="D8" s="33">
        <v>24800</v>
      </c>
      <c r="E8" s="33">
        <v>18650</v>
      </c>
      <c r="F8" s="38" t="str">
        <f>IF(C9="","",(C8/C9)-1)</f>
        <v/>
      </c>
      <c r="G8" s="38" t="str">
        <f>IF(D9="","",(D8/D9)-1)</f>
        <v/>
      </c>
      <c r="H8" s="38" t="str">
        <f>IF(E9="","",(E8/E9)-1)</f>
        <v/>
      </c>
    </row>
    <row r="12" spans="1:12" x14ac:dyDescent="0.25">
      <c r="A12" s="21"/>
      <c r="B12" s="21"/>
    </row>
  </sheetData>
  <autoFilter ref="A1:E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zoomScale="130" zoomScaleNormal="130" workbookViewId="0">
      <pane ySplit="1" topLeftCell="A2" activePane="bottomLeft" state="frozen"/>
      <selection pane="bottomLeft"/>
    </sheetView>
  </sheetViews>
  <sheetFormatPr defaultRowHeight="15" x14ac:dyDescent="0.25"/>
  <cols>
    <col min="1" max="1" width="4.42578125" style="13" bestFit="1" customWidth="1"/>
    <col min="2" max="2" width="13.7109375" style="14" bestFit="1" customWidth="1"/>
    <col min="3" max="3" width="13.7109375" style="14" customWidth="1"/>
    <col min="4" max="4" width="13.7109375" style="14" bestFit="1" customWidth="1"/>
    <col min="5" max="5" width="18" style="14" bestFit="1" customWidth="1"/>
    <col min="6" max="6" width="16" style="14" bestFit="1" customWidth="1"/>
    <col min="7" max="7" width="20.5703125" style="14" bestFit="1" customWidth="1"/>
  </cols>
  <sheetData>
    <row r="1" spans="1:7" x14ac:dyDescent="0.25">
      <c r="A1" s="13" t="s">
        <v>11</v>
      </c>
      <c r="B1" s="14" t="s">
        <v>60</v>
      </c>
      <c r="C1" s="14" t="s">
        <v>61</v>
      </c>
      <c r="D1" s="14" t="s">
        <v>62</v>
      </c>
      <c r="E1" s="14" t="s">
        <v>63</v>
      </c>
      <c r="F1" s="14" t="s">
        <v>64</v>
      </c>
      <c r="G1" s="14" t="s">
        <v>65</v>
      </c>
    </row>
    <row r="2" spans="1:7" x14ac:dyDescent="0.25">
      <c r="A2" s="13">
        <v>0</v>
      </c>
      <c r="B2" s="14">
        <v>0</v>
      </c>
      <c r="C2" s="14">
        <v>0</v>
      </c>
      <c r="D2" s="14">
        <v>82.4</v>
      </c>
      <c r="E2" s="14">
        <v>0</v>
      </c>
      <c r="F2" s="14">
        <v>84.6</v>
      </c>
      <c r="G2" s="14">
        <v>0</v>
      </c>
    </row>
    <row r="3" spans="1:7" x14ac:dyDescent="0.25">
      <c r="A3" s="13">
        <v>1</v>
      </c>
      <c r="B3" s="14">
        <v>0</v>
      </c>
      <c r="C3" s="14">
        <v>0</v>
      </c>
      <c r="D3" s="14">
        <v>81.599999999999994</v>
      </c>
      <c r="E3" s="14">
        <v>0</v>
      </c>
      <c r="F3" s="14">
        <v>83.7</v>
      </c>
      <c r="G3" s="14">
        <v>0</v>
      </c>
    </row>
    <row r="4" spans="1:7" x14ac:dyDescent="0.25">
      <c r="A4" s="13">
        <v>2</v>
      </c>
      <c r="B4" s="14">
        <v>0</v>
      </c>
      <c r="C4" s="14">
        <v>0</v>
      </c>
      <c r="D4" s="14">
        <v>80.599999999999994</v>
      </c>
      <c r="E4" s="14">
        <v>0</v>
      </c>
      <c r="F4" s="14">
        <v>82.8</v>
      </c>
      <c r="G4" s="14">
        <v>0</v>
      </c>
    </row>
    <row r="5" spans="1:7" x14ac:dyDescent="0.25">
      <c r="A5" s="13">
        <v>3</v>
      </c>
      <c r="B5" s="14">
        <v>0</v>
      </c>
      <c r="C5" s="14">
        <v>0</v>
      </c>
      <c r="D5" s="14">
        <v>79.7</v>
      </c>
      <c r="E5" s="14">
        <v>0</v>
      </c>
      <c r="F5" s="14">
        <v>81.8</v>
      </c>
      <c r="G5" s="14">
        <v>0</v>
      </c>
    </row>
    <row r="6" spans="1:7" x14ac:dyDescent="0.25">
      <c r="A6" s="13">
        <v>4</v>
      </c>
      <c r="B6" s="14">
        <v>0</v>
      </c>
      <c r="C6" s="14">
        <v>0</v>
      </c>
      <c r="D6" s="14">
        <v>78.7</v>
      </c>
      <c r="E6" s="14">
        <v>0</v>
      </c>
      <c r="F6" s="14">
        <v>80.8</v>
      </c>
      <c r="G6" s="14">
        <v>0</v>
      </c>
    </row>
    <row r="7" spans="1:7" x14ac:dyDescent="0.25">
      <c r="A7" s="13">
        <v>5</v>
      </c>
      <c r="B7" s="14">
        <v>0</v>
      </c>
      <c r="C7" s="14">
        <v>0</v>
      </c>
      <c r="D7" s="14">
        <v>77.7</v>
      </c>
      <c r="E7" s="14">
        <v>0</v>
      </c>
      <c r="F7" s="14">
        <v>79.8</v>
      </c>
      <c r="G7" s="14">
        <v>0</v>
      </c>
    </row>
    <row r="8" spans="1:7" x14ac:dyDescent="0.25">
      <c r="A8" s="13">
        <v>6</v>
      </c>
      <c r="B8" s="14">
        <v>0</v>
      </c>
      <c r="C8" s="14">
        <v>0</v>
      </c>
      <c r="D8" s="14">
        <v>76.7</v>
      </c>
      <c r="E8" s="14">
        <v>0</v>
      </c>
      <c r="F8" s="14">
        <v>78.8</v>
      </c>
      <c r="G8" s="14">
        <v>0</v>
      </c>
    </row>
    <row r="9" spans="1:7" x14ac:dyDescent="0.25">
      <c r="A9" s="13">
        <v>7</v>
      </c>
      <c r="B9" s="14">
        <v>0</v>
      </c>
      <c r="C9" s="14">
        <v>0</v>
      </c>
      <c r="D9" s="14">
        <v>75.8</v>
      </c>
      <c r="E9" s="14">
        <v>0</v>
      </c>
      <c r="F9" s="14">
        <v>77.900000000000006</v>
      </c>
      <c r="G9" s="14">
        <v>0</v>
      </c>
    </row>
    <row r="10" spans="1:7" x14ac:dyDescent="0.25">
      <c r="A10" s="13">
        <v>8</v>
      </c>
      <c r="B10" s="14">
        <v>0</v>
      </c>
      <c r="C10" s="14">
        <v>0</v>
      </c>
      <c r="D10" s="14">
        <v>74.8</v>
      </c>
      <c r="E10" s="14">
        <v>0</v>
      </c>
      <c r="F10" s="14">
        <v>76.900000000000006</v>
      </c>
      <c r="G10" s="14">
        <v>0</v>
      </c>
    </row>
    <row r="11" spans="1:7" x14ac:dyDescent="0.25">
      <c r="A11" s="13">
        <v>9</v>
      </c>
      <c r="B11" s="14">
        <v>0</v>
      </c>
      <c r="C11" s="14">
        <v>0</v>
      </c>
      <c r="D11" s="14">
        <v>73.8</v>
      </c>
      <c r="E11" s="14">
        <v>0</v>
      </c>
      <c r="F11" s="14">
        <v>75.900000000000006</v>
      </c>
      <c r="G11" s="14">
        <v>0</v>
      </c>
    </row>
    <row r="12" spans="1:7" x14ac:dyDescent="0.25">
      <c r="A12" s="13">
        <v>10</v>
      </c>
      <c r="B12" s="14">
        <v>0</v>
      </c>
      <c r="C12" s="14">
        <v>0</v>
      </c>
      <c r="D12" s="14">
        <v>72.8</v>
      </c>
      <c r="E12" s="14">
        <v>0</v>
      </c>
      <c r="F12" s="14">
        <v>74.900000000000006</v>
      </c>
      <c r="G12" s="14">
        <v>0</v>
      </c>
    </row>
    <row r="13" spans="1:7" x14ac:dyDescent="0.25">
      <c r="A13" s="13">
        <v>11</v>
      </c>
      <c r="B13" s="14">
        <v>0</v>
      </c>
      <c r="C13" s="14">
        <v>0</v>
      </c>
      <c r="D13" s="14">
        <v>71.8</v>
      </c>
      <c r="E13" s="14">
        <v>0</v>
      </c>
      <c r="F13" s="14">
        <v>73.900000000000006</v>
      </c>
      <c r="G13" s="14">
        <v>0</v>
      </c>
    </row>
    <row r="14" spans="1:7" x14ac:dyDescent="0.25">
      <c r="A14" s="13">
        <v>12</v>
      </c>
      <c r="B14" s="14">
        <v>0</v>
      </c>
      <c r="C14" s="14">
        <v>0</v>
      </c>
      <c r="D14" s="14">
        <v>70.8</v>
      </c>
      <c r="E14" s="14">
        <v>0</v>
      </c>
      <c r="F14" s="14">
        <v>72.900000000000006</v>
      </c>
      <c r="G14" s="14">
        <v>0</v>
      </c>
    </row>
    <row r="15" spans="1:7" x14ac:dyDescent="0.25">
      <c r="A15" s="13">
        <v>13</v>
      </c>
      <c r="B15" s="14">
        <v>0</v>
      </c>
      <c r="C15" s="14">
        <v>0</v>
      </c>
      <c r="D15" s="14">
        <v>69.900000000000006</v>
      </c>
      <c r="E15" s="14">
        <v>0</v>
      </c>
      <c r="F15" s="14">
        <v>71.900000000000006</v>
      </c>
      <c r="G15" s="14">
        <v>0</v>
      </c>
    </row>
    <row r="16" spans="1:7" x14ac:dyDescent="0.25">
      <c r="A16" s="13">
        <v>14</v>
      </c>
      <c r="B16" s="14">
        <v>0</v>
      </c>
      <c r="C16" s="14">
        <v>0</v>
      </c>
      <c r="D16" s="14">
        <v>68.900000000000006</v>
      </c>
      <c r="E16" s="14">
        <v>0</v>
      </c>
      <c r="F16" s="14">
        <v>70.900000000000006</v>
      </c>
      <c r="G16" s="14">
        <v>0</v>
      </c>
    </row>
    <row r="17" spans="1:7" x14ac:dyDescent="0.25">
      <c r="A17" s="13">
        <v>15</v>
      </c>
      <c r="B17" s="14">
        <v>0</v>
      </c>
      <c r="C17" s="14">
        <v>0</v>
      </c>
      <c r="D17" s="14">
        <v>67.900000000000006</v>
      </c>
      <c r="E17" s="14">
        <v>0</v>
      </c>
      <c r="F17" s="14">
        <v>69.900000000000006</v>
      </c>
      <c r="G17" s="14">
        <v>0</v>
      </c>
    </row>
    <row r="18" spans="1:7" x14ac:dyDescent="0.25">
      <c r="A18" s="13">
        <v>16</v>
      </c>
      <c r="B18" s="14">
        <v>0</v>
      </c>
      <c r="C18" s="14">
        <v>0</v>
      </c>
      <c r="D18" s="14">
        <v>66.900000000000006</v>
      </c>
      <c r="E18" s="14">
        <v>0</v>
      </c>
      <c r="F18" s="14">
        <v>69</v>
      </c>
      <c r="G18" s="14">
        <v>0</v>
      </c>
    </row>
    <row r="19" spans="1:7" x14ac:dyDescent="0.25">
      <c r="A19" s="13">
        <v>17</v>
      </c>
      <c r="B19" s="14">
        <v>0</v>
      </c>
      <c r="C19" s="14">
        <v>0</v>
      </c>
      <c r="D19" s="14">
        <v>66</v>
      </c>
      <c r="E19" s="14">
        <v>0</v>
      </c>
      <c r="F19" s="14">
        <v>68</v>
      </c>
      <c r="G19" s="14">
        <v>0</v>
      </c>
    </row>
    <row r="20" spans="1:7" x14ac:dyDescent="0.25">
      <c r="A20" s="13">
        <v>18</v>
      </c>
      <c r="B20" s="14">
        <v>0</v>
      </c>
      <c r="C20" s="14">
        <v>0</v>
      </c>
      <c r="D20" s="14">
        <v>65</v>
      </c>
      <c r="E20" s="14">
        <v>0</v>
      </c>
      <c r="F20" s="14">
        <v>67</v>
      </c>
      <c r="G20" s="14">
        <v>0</v>
      </c>
    </row>
    <row r="21" spans="1:7" x14ac:dyDescent="0.25">
      <c r="A21" s="13">
        <v>19</v>
      </c>
      <c r="B21" s="14">
        <v>0</v>
      </c>
      <c r="C21" s="14">
        <v>0</v>
      </c>
      <c r="D21" s="14">
        <v>64</v>
      </c>
      <c r="E21" s="14">
        <v>0</v>
      </c>
      <c r="F21" s="14">
        <v>66</v>
      </c>
      <c r="G21" s="14">
        <v>0</v>
      </c>
    </row>
    <row r="22" spans="1:7" x14ac:dyDescent="0.25">
      <c r="A22" s="13">
        <v>20</v>
      </c>
      <c r="B22" s="14">
        <v>0</v>
      </c>
      <c r="C22" s="14">
        <v>0</v>
      </c>
      <c r="D22" s="14">
        <v>63</v>
      </c>
      <c r="E22" s="14">
        <v>0</v>
      </c>
      <c r="F22" s="14">
        <v>65</v>
      </c>
      <c r="G22" s="14">
        <v>0</v>
      </c>
    </row>
    <row r="23" spans="1:7" x14ac:dyDescent="0.25">
      <c r="A23" s="13">
        <v>21</v>
      </c>
      <c r="B23" s="14">
        <v>0</v>
      </c>
      <c r="C23" s="14">
        <v>0</v>
      </c>
      <c r="D23" s="14">
        <v>62.1</v>
      </c>
      <c r="E23" s="14">
        <v>0</v>
      </c>
      <c r="F23" s="14">
        <v>64.099999999999994</v>
      </c>
      <c r="G23" s="14">
        <v>0</v>
      </c>
    </row>
    <row r="24" spans="1:7" x14ac:dyDescent="0.25">
      <c r="A24" s="13">
        <v>22</v>
      </c>
      <c r="B24" s="14">
        <v>0</v>
      </c>
      <c r="C24" s="14">
        <v>0</v>
      </c>
      <c r="D24" s="14">
        <v>61.1</v>
      </c>
      <c r="E24" s="14">
        <v>0</v>
      </c>
      <c r="F24" s="14">
        <v>63.1</v>
      </c>
      <c r="G24" s="14">
        <v>0</v>
      </c>
    </row>
    <row r="25" spans="1:7" x14ac:dyDescent="0.25">
      <c r="A25" s="13">
        <v>23</v>
      </c>
      <c r="B25" s="14">
        <v>0</v>
      </c>
      <c r="C25" s="14">
        <v>0</v>
      </c>
      <c r="D25" s="14">
        <v>60.1</v>
      </c>
      <c r="E25" s="14">
        <v>0</v>
      </c>
      <c r="F25" s="14">
        <v>62.1</v>
      </c>
      <c r="G25" s="14">
        <v>0</v>
      </c>
    </row>
    <row r="26" spans="1:7" x14ac:dyDescent="0.25">
      <c r="A26" s="13">
        <v>24</v>
      </c>
      <c r="B26" s="14">
        <v>0</v>
      </c>
      <c r="C26" s="14">
        <v>0</v>
      </c>
      <c r="D26" s="14">
        <v>59.1</v>
      </c>
      <c r="E26" s="14">
        <v>0</v>
      </c>
      <c r="F26" s="14">
        <v>61.1</v>
      </c>
      <c r="G26" s="14">
        <v>0</v>
      </c>
    </row>
    <row r="27" spans="1:7" x14ac:dyDescent="0.25">
      <c r="A27" s="13">
        <v>25</v>
      </c>
      <c r="B27" s="14">
        <v>0</v>
      </c>
      <c r="C27" s="14">
        <v>0</v>
      </c>
      <c r="D27" s="14">
        <v>58.2</v>
      </c>
      <c r="E27" s="14">
        <v>0</v>
      </c>
      <c r="F27" s="14">
        <v>60.2</v>
      </c>
      <c r="G27" s="14">
        <v>0</v>
      </c>
    </row>
    <row r="28" spans="1:7" x14ac:dyDescent="0.25">
      <c r="A28" s="13">
        <v>26</v>
      </c>
      <c r="B28" s="14">
        <v>0</v>
      </c>
      <c r="C28" s="14">
        <v>0</v>
      </c>
      <c r="D28" s="14">
        <v>57.2</v>
      </c>
      <c r="E28" s="14">
        <v>0</v>
      </c>
      <c r="F28" s="14">
        <v>59.2</v>
      </c>
      <c r="G28" s="14">
        <v>0</v>
      </c>
    </row>
    <row r="29" spans="1:7" x14ac:dyDescent="0.25">
      <c r="A29" s="13">
        <v>27</v>
      </c>
      <c r="B29" s="14">
        <v>0</v>
      </c>
      <c r="C29" s="14">
        <v>0</v>
      </c>
      <c r="D29" s="14">
        <v>56.2</v>
      </c>
      <c r="E29" s="14">
        <v>0</v>
      </c>
      <c r="F29" s="14">
        <v>58.2</v>
      </c>
      <c r="G29" s="14">
        <v>0</v>
      </c>
    </row>
    <row r="30" spans="1:7" x14ac:dyDescent="0.25">
      <c r="A30" s="13">
        <v>28</v>
      </c>
      <c r="B30" s="14">
        <v>0</v>
      </c>
      <c r="C30" s="14">
        <v>0</v>
      </c>
      <c r="D30" s="14">
        <v>55.3</v>
      </c>
      <c r="E30" s="14">
        <v>0</v>
      </c>
      <c r="F30" s="14">
        <v>57.3</v>
      </c>
      <c r="G30" s="14">
        <v>0</v>
      </c>
    </row>
    <row r="31" spans="1:7" x14ac:dyDescent="0.25">
      <c r="A31" s="13">
        <v>29</v>
      </c>
      <c r="B31" s="14">
        <v>0</v>
      </c>
      <c r="C31" s="14">
        <v>0</v>
      </c>
      <c r="D31" s="14">
        <v>54.3</v>
      </c>
      <c r="E31" s="14">
        <v>0</v>
      </c>
      <c r="F31" s="14">
        <v>56.3</v>
      </c>
      <c r="G31" s="14">
        <v>0</v>
      </c>
    </row>
    <row r="32" spans="1:7" x14ac:dyDescent="0.25">
      <c r="A32" s="13">
        <v>30</v>
      </c>
      <c r="B32" s="14">
        <v>0</v>
      </c>
      <c r="C32" s="14">
        <v>0</v>
      </c>
      <c r="D32" s="14">
        <v>53.3</v>
      </c>
      <c r="E32" s="14">
        <v>0</v>
      </c>
      <c r="F32" s="14">
        <v>55.3</v>
      </c>
      <c r="G32" s="14">
        <v>0</v>
      </c>
    </row>
    <row r="33" spans="1:7" x14ac:dyDescent="0.25">
      <c r="A33" s="13">
        <v>31</v>
      </c>
      <c r="B33" s="14">
        <v>0</v>
      </c>
      <c r="C33" s="14">
        <v>0</v>
      </c>
      <c r="D33" s="14">
        <v>52.4</v>
      </c>
      <c r="E33" s="14">
        <v>0</v>
      </c>
      <c r="F33" s="14">
        <v>54.4</v>
      </c>
      <c r="G33" s="14">
        <v>0</v>
      </c>
    </row>
    <row r="34" spans="1:7" x14ac:dyDescent="0.25">
      <c r="A34" s="13">
        <v>32</v>
      </c>
      <c r="B34" s="14">
        <v>0</v>
      </c>
      <c r="C34" s="14">
        <v>0</v>
      </c>
      <c r="D34" s="14">
        <v>51.4</v>
      </c>
      <c r="E34" s="14">
        <v>0</v>
      </c>
      <c r="F34" s="14">
        <v>53.4</v>
      </c>
      <c r="G34" s="14">
        <v>0</v>
      </c>
    </row>
    <row r="35" spans="1:7" x14ac:dyDescent="0.25">
      <c r="A35" s="13">
        <v>33</v>
      </c>
      <c r="B35" s="14">
        <v>0</v>
      </c>
      <c r="C35" s="14">
        <v>0</v>
      </c>
      <c r="D35" s="14">
        <v>50.4</v>
      </c>
      <c r="E35" s="14">
        <v>0</v>
      </c>
      <c r="F35" s="14">
        <v>52.5</v>
      </c>
      <c r="G35" s="14">
        <v>0</v>
      </c>
    </row>
    <row r="36" spans="1:7" x14ac:dyDescent="0.25">
      <c r="A36" s="13">
        <v>34</v>
      </c>
      <c r="B36" s="14">
        <v>0</v>
      </c>
      <c r="C36" s="14">
        <v>0</v>
      </c>
      <c r="D36" s="14">
        <v>49.4</v>
      </c>
      <c r="E36" s="14">
        <v>0</v>
      </c>
      <c r="F36" s="14">
        <v>51.5</v>
      </c>
      <c r="G36" s="14">
        <v>0</v>
      </c>
    </row>
    <row r="37" spans="1:7" x14ac:dyDescent="0.25">
      <c r="A37" s="13">
        <v>35</v>
      </c>
      <c r="B37" s="14">
        <v>47.3</v>
      </c>
      <c r="C37" s="14">
        <v>0</v>
      </c>
      <c r="D37" s="14">
        <v>48.5</v>
      </c>
      <c r="E37" s="14">
        <v>0</v>
      </c>
      <c r="F37" s="14">
        <v>50.5</v>
      </c>
      <c r="G37" s="14">
        <v>0</v>
      </c>
    </row>
    <row r="38" spans="1:7" x14ac:dyDescent="0.25">
      <c r="A38" s="13">
        <v>36</v>
      </c>
      <c r="B38" s="14">
        <v>46.4</v>
      </c>
      <c r="C38" s="14">
        <v>0</v>
      </c>
      <c r="D38" s="14">
        <v>47.5</v>
      </c>
      <c r="E38" s="14">
        <v>0</v>
      </c>
      <c r="F38" s="14">
        <v>49.6</v>
      </c>
      <c r="G38" s="14">
        <v>0</v>
      </c>
    </row>
    <row r="39" spans="1:7" x14ac:dyDescent="0.25">
      <c r="A39" s="13">
        <v>37</v>
      </c>
      <c r="B39" s="14">
        <v>45.4</v>
      </c>
      <c r="C39" s="14">
        <v>0</v>
      </c>
      <c r="D39" s="14">
        <v>46.5</v>
      </c>
      <c r="E39" s="14">
        <v>0</v>
      </c>
      <c r="F39" s="14">
        <v>48.6</v>
      </c>
      <c r="G39" s="14">
        <v>0</v>
      </c>
    </row>
    <row r="40" spans="1:7" x14ac:dyDescent="0.25">
      <c r="A40" s="13">
        <v>38</v>
      </c>
      <c r="B40" s="14">
        <v>44.4</v>
      </c>
      <c r="C40" s="14">
        <v>0</v>
      </c>
      <c r="D40" s="14">
        <v>45.6</v>
      </c>
      <c r="E40" s="14">
        <v>0</v>
      </c>
      <c r="F40" s="14">
        <v>47.7</v>
      </c>
      <c r="G40" s="14">
        <v>0</v>
      </c>
    </row>
    <row r="41" spans="1:7" x14ac:dyDescent="0.25">
      <c r="A41" s="13">
        <v>39</v>
      </c>
      <c r="B41" s="14">
        <v>43.5</v>
      </c>
      <c r="C41" s="14">
        <v>0</v>
      </c>
      <c r="D41" s="14">
        <v>44.6</v>
      </c>
      <c r="E41" s="14">
        <v>0</v>
      </c>
      <c r="F41" s="14">
        <v>46.7</v>
      </c>
      <c r="G41" s="14">
        <v>0</v>
      </c>
    </row>
    <row r="42" spans="1:7" x14ac:dyDescent="0.25">
      <c r="A42" s="13">
        <v>40</v>
      </c>
      <c r="B42" s="14">
        <v>42.5</v>
      </c>
      <c r="C42" s="14">
        <v>0</v>
      </c>
      <c r="D42" s="14">
        <v>43.6</v>
      </c>
      <c r="E42" s="14">
        <v>0</v>
      </c>
      <c r="F42" s="14">
        <v>45.7</v>
      </c>
      <c r="G42" s="14">
        <v>0</v>
      </c>
    </row>
    <row r="43" spans="1:7" x14ac:dyDescent="0.25">
      <c r="A43" s="13">
        <v>41</v>
      </c>
      <c r="B43" s="14">
        <v>41.5</v>
      </c>
      <c r="C43" s="14">
        <v>0</v>
      </c>
      <c r="D43" s="14">
        <v>42.7</v>
      </c>
      <c r="E43" s="14">
        <v>0</v>
      </c>
      <c r="F43" s="14">
        <v>44.8</v>
      </c>
      <c r="G43" s="14">
        <v>0</v>
      </c>
    </row>
    <row r="44" spans="1:7" x14ac:dyDescent="0.25">
      <c r="A44" s="13">
        <v>42</v>
      </c>
      <c r="B44" s="14">
        <v>40.6</v>
      </c>
      <c r="C44" s="14">
        <v>0</v>
      </c>
      <c r="D44" s="14">
        <v>41.7</v>
      </c>
      <c r="E44" s="14">
        <v>0</v>
      </c>
      <c r="F44" s="14">
        <v>43.8</v>
      </c>
      <c r="G44" s="14">
        <v>0</v>
      </c>
    </row>
    <row r="45" spans="1:7" x14ac:dyDescent="0.25">
      <c r="A45" s="13">
        <v>43</v>
      </c>
      <c r="B45" s="14">
        <v>39.6</v>
      </c>
      <c r="C45" s="14">
        <v>0</v>
      </c>
      <c r="D45" s="14">
        <v>40.700000000000003</v>
      </c>
      <c r="E45" s="14">
        <v>0</v>
      </c>
      <c r="F45" s="14">
        <v>42.9</v>
      </c>
      <c r="G45" s="14">
        <v>0</v>
      </c>
    </row>
    <row r="46" spans="1:7" x14ac:dyDescent="0.25">
      <c r="A46" s="13">
        <v>44</v>
      </c>
      <c r="B46" s="14">
        <v>38.700000000000003</v>
      </c>
      <c r="C46" s="14">
        <v>0</v>
      </c>
      <c r="D46" s="14">
        <v>39.799999999999997</v>
      </c>
      <c r="E46" s="14">
        <v>0</v>
      </c>
      <c r="F46" s="14">
        <v>41.9</v>
      </c>
      <c r="G46" s="14">
        <v>0</v>
      </c>
    </row>
    <row r="47" spans="1:7" x14ac:dyDescent="0.25">
      <c r="A47" s="13">
        <v>45</v>
      </c>
      <c r="B47" s="14">
        <v>37.700000000000003</v>
      </c>
      <c r="C47" s="14">
        <v>0</v>
      </c>
      <c r="D47" s="14">
        <v>38.799999999999997</v>
      </c>
      <c r="E47" s="14">
        <v>0</v>
      </c>
      <c r="F47" s="14">
        <v>41</v>
      </c>
      <c r="G47" s="14">
        <v>0</v>
      </c>
    </row>
    <row r="48" spans="1:7" x14ac:dyDescent="0.25">
      <c r="A48" s="13">
        <v>46</v>
      </c>
      <c r="B48" s="14">
        <v>36.799999999999997</v>
      </c>
      <c r="C48" s="14">
        <v>0</v>
      </c>
      <c r="D48" s="14">
        <v>37.9</v>
      </c>
      <c r="E48" s="14">
        <v>0</v>
      </c>
      <c r="F48" s="14">
        <v>40</v>
      </c>
      <c r="G48" s="14">
        <v>0</v>
      </c>
    </row>
    <row r="49" spans="1:7" x14ac:dyDescent="0.25">
      <c r="A49" s="13">
        <v>47</v>
      </c>
      <c r="B49" s="14">
        <v>35.9</v>
      </c>
      <c r="C49" s="14">
        <v>0</v>
      </c>
      <c r="D49" s="14">
        <v>37</v>
      </c>
      <c r="E49" s="14">
        <v>0</v>
      </c>
      <c r="F49" s="14">
        <v>39</v>
      </c>
      <c r="G49" s="14">
        <v>0</v>
      </c>
    </row>
    <row r="50" spans="1:7" x14ac:dyDescent="0.25">
      <c r="A50" s="13">
        <v>48</v>
      </c>
      <c r="B50" s="14">
        <v>34.9</v>
      </c>
      <c r="C50" s="14">
        <v>0</v>
      </c>
      <c r="D50" s="14">
        <v>36</v>
      </c>
      <c r="E50" s="14">
        <v>0</v>
      </c>
      <c r="F50" s="14">
        <v>38.1</v>
      </c>
      <c r="G50" s="14">
        <v>0</v>
      </c>
    </row>
    <row r="51" spans="1:7" x14ac:dyDescent="0.25">
      <c r="A51" s="13">
        <v>49</v>
      </c>
      <c r="B51" s="14">
        <v>34</v>
      </c>
      <c r="C51" s="14">
        <v>0</v>
      </c>
      <c r="D51" s="14">
        <v>35.1</v>
      </c>
      <c r="E51" s="14">
        <v>0</v>
      </c>
      <c r="F51" s="14">
        <v>37.1</v>
      </c>
      <c r="G51" s="14">
        <v>0</v>
      </c>
    </row>
    <row r="52" spans="1:7" x14ac:dyDescent="0.25">
      <c r="A52" s="13">
        <v>50</v>
      </c>
      <c r="B52" s="14">
        <v>33.1</v>
      </c>
      <c r="C52" s="14">
        <v>0</v>
      </c>
      <c r="D52" s="14">
        <v>34.200000000000003</v>
      </c>
      <c r="E52" s="14">
        <v>0</v>
      </c>
      <c r="F52" s="14">
        <v>36.200000000000003</v>
      </c>
      <c r="G52" s="14">
        <v>0</v>
      </c>
    </row>
    <row r="53" spans="1:7" x14ac:dyDescent="0.25">
      <c r="A53" s="13">
        <v>51</v>
      </c>
      <c r="B53" s="14">
        <v>32.200000000000003</v>
      </c>
      <c r="C53" s="14">
        <v>0</v>
      </c>
      <c r="D53" s="14">
        <v>33.299999999999997</v>
      </c>
      <c r="E53" s="14">
        <v>0</v>
      </c>
      <c r="F53" s="14">
        <v>35.299999999999997</v>
      </c>
      <c r="G53" s="14">
        <v>0</v>
      </c>
    </row>
    <row r="54" spans="1:7" x14ac:dyDescent="0.25">
      <c r="A54" s="13">
        <v>52</v>
      </c>
      <c r="B54" s="14">
        <v>31.3</v>
      </c>
      <c r="C54" s="14">
        <v>0</v>
      </c>
      <c r="D54" s="14">
        <v>32.299999999999997</v>
      </c>
      <c r="E54" s="14">
        <v>0</v>
      </c>
      <c r="F54" s="14">
        <v>34.299999999999997</v>
      </c>
      <c r="G54" s="14">
        <v>0</v>
      </c>
    </row>
    <row r="55" spans="1:7" x14ac:dyDescent="0.25">
      <c r="A55" s="13">
        <v>53</v>
      </c>
      <c r="B55" s="14">
        <v>30.4</v>
      </c>
      <c r="C55" s="14">
        <v>0</v>
      </c>
      <c r="D55" s="14">
        <v>31.4</v>
      </c>
      <c r="E55" s="14">
        <v>0</v>
      </c>
      <c r="F55" s="14">
        <v>33.4</v>
      </c>
      <c r="G55" s="14">
        <v>0</v>
      </c>
    </row>
    <row r="56" spans="1:7" x14ac:dyDescent="0.25">
      <c r="A56" s="13">
        <v>54</v>
      </c>
      <c r="B56" s="14">
        <v>29.5</v>
      </c>
      <c r="C56" s="14">
        <v>0</v>
      </c>
      <c r="D56" s="14">
        <v>30.5</v>
      </c>
      <c r="E56" s="14">
        <v>0</v>
      </c>
      <c r="F56" s="14">
        <v>32.5</v>
      </c>
      <c r="G56" s="14">
        <v>0</v>
      </c>
    </row>
    <row r="57" spans="1:7" x14ac:dyDescent="0.25">
      <c r="A57" s="13">
        <v>55</v>
      </c>
      <c r="B57" s="14">
        <v>28.6</v>
      </c>
      <c r="C57" s="14">
        <v>0</v>
      </c>
      <c r="D57" s="14">
        <v>29.6</v>
      </c>
      <c r="E57" s="14">
        <v>0</v>
      </c>
      <c r="F57" s="14">
        <v>31.6</v>
      </c>
      <c r="G57" s="14">
        <v>0</v>
      </c>
    </row>
    <row r="58" spans="1:7" x14ac:dyDescent="0.25">
      <c r="A58" s="13">
        <v>56</v>
      </c>
      <c r="B58" s="14">
        <v>27.700000000000003</v>
      </c>
      <c r="C58" s="14">
        <v>0</v>
      </c>
      <c r="D58" s="14">
        <v>28.7</v>
      </c>
      <c r="E58" s="14">
        <v>0</v>
      </c>
      <c r="F58" s="14">
        <v>30.6</v>
      </c>
      <c r="G58" s="14">
        <v>0</v>
      </c>
    </row>
    <row r="59" spans="1:7" x14ac:dyDescent="0.25">
      <c r="A59" s="13">
        <v>57</v>
      </c>
      <c r="B59" s="14">
        <v>26.800000000000004</v>
      </c>
      <c r="C59" s="14">
        <v>0</v>
      </c>
      <c r="D59" s="14">
        <v>27.9</v>
      </c>
      <c r="E59" s="14">
        <v>0</v>
      </c>
      <c r="F59" s="14">
        <v>29.8</v>
      </c>
      <c r="G59" s="14">
        <v>0</v>
      </c>
    </row>
    <row r="60" spans="1:7" x14ac:dyDescent="0.25">
      <c r="A60" s="13">
        <v>58</v>
      </c>
      <c r="B60" s="14">
        <v>25.9</v>
      </c>
      <c r="C60" s="14">
        <v>0</v>
      </c>
      <c r="D60" s="14">
        <v>27</v>
      </c>
      <c r="E60" s="14">
        <v>0</v>
      </c>
      <c r="F60" s="14">
        <v>28.9</v>
      </c>
      <c r="G60" s="14">
        <v>0</v>
      </c>
    </row>
    <row r="61" spans="1:7" x14ac:dyDescent="0.25">
      <c r="A61" s="13">
        <v>59</v>
      </c>
      <c r="B61" s="14">
        <v>25</v>
      </c>
      <c r="C61" s="14">
        <v>0</v>
      </c>
      <c r="D61" s="14">
        <v>26.1</v>
      </c>
      <c r="E61" s="14">
        <v>0</v>
      </c>
      <c r="F61" s="14">
        <v>28</v>
      </c>
      <c r="G61" s="14">
        <v>0</v>
      </c>
    </row>
    <row r="62" spans="1:7" x14ac:dyDescent="0.25">
      <c r="A62" s="13">
        <v>60</v>
      </c>
      <c r="B62" s="14">
        <v>24.2</v>
      </c>
      <c r="C62" s="14">
        <v>0</v>
      </c>
      <c r="D62" s="14">
        <v>25.2</v>
      </c>
      <c r="E62" s="14">
        <v>0</v>
      </c>
      <c r="F62" s="14">
        <v>27.1</v>
      </c>
      <c r="G62" s="14">
        <v>0</v>
      </c>
    </row>
    <row r="63" spans="1:7" x14ac:dyDescent="0.25">
      <c r="A63" s="13">
        <v>61</v>
      </c>
      <c r="B63" s="14">
        <v>23.3</v>
      </c>
      <c r="C63" s="14">
        <v>0</v>
      </c>
      <c r="D63" s="14">
        <v>24.4</v>
      </c>
      <c r="E63" s="14">
        <v>0</v>
      </c>
      <c r="F63" s="14">
        <v>26.2</v>
      </c>
      <c r="G63" s="14">
        <v>0</v>
      </c>
    </row>
    <row r="64" spans="1:7" x14ac:dyDescent="0.25">
      <c r="A64" s="13">
        <v>62</v>
      </c>
      <c r="B64" s="14">
        <v>22.5</v>
      </c>
      <c r="C64" s="14">
        <v>0</v>
      </c>
      <c r="D64" s="14">
        <v>23.5</v>
      </c>
      <c r="E64" s="14">
        <v>0</v>
      </c>
      <c r="F64" s="14">
        <v>25.4</v>
      </c>
      <c r="G64" s="14">
        <v>0</v>
      </c>
    </row>
    <row r="65" spans="1:7" x14ac:dyDescent="0.25">
      <c r="A65" s="13">
        <v>63</v>
      </c>
      <c r="B65" s="14">
        <v>21.6</v>
      </c>
      <c r="C65" s="14">
        <v>0</v>
      </c>
      <c r="D65" s="14">
        <v>22.7</v>
      </c>
      <c r="E65" s="14">
        <v>0</v>
      </c>
      <c r="F65" s="14">
        <v>24.5</v>
      </c>
      <c r="G65" s="14">
        <v>0</v>
      </c>
    </row>
    <row r="66" spans="1:7" x14ac:dyDescent="0.25">
      <c r="A66" s="13">
        <v>64</v>
      </c>
      <c r="B66" s="14">
        <v>20.8</v>
      </c>
      <c r="C66" s="14">
        <v>0</v>
      </c>
      <c r="D66" s="14">
        <v>21.8</v>
      </c>
      <c r="E66" s="14">
        <v>0</v>
      </c>
      <c r="F66" s="14">
        <v>23.7</v>
      </c>
      <c r="G66" s="14">
        <v>0</v>
      </c>
    </row>
    <row r="67" spans="1:7" x14ac:dyDescent="0.25">
      <c r="A67" s="13">
        <v>65</v>
      </c>
      <c r="B67" s="14">
        <v>20</v>
      </c>
      <c r="C67" s="14">
        <v>0</v>
      </c>
      <c r="D67" s="14">
        <v>21</v>
      </c>
      <c r="E67" s="14">
        <v>0</v>
      </c>
      <c r="F67" s="14">
        <v>22.9</v>
      </c>
      <c r="G67" s="14">
        <v>0</v>
      </c>
    </row>
    <row r="68" spans="1:7" x14ac:dyDescent="0.25">
      <c r="A68" s="13">
        <v>66</v>
      </c>
      <c r="B68" s="14">
        <v>19.2</v>
      </c>
      <c r="C68" s="14">
        <v>0</v>
      </c>
      <c r="D68" s="14">
        <v>20.2</v>
      </c>
      <c r="E68" s="14">
        <v>0</v>
      </c>
      <c r="F68" s="14">
        <v>22</v>
      </c>
      <c r="G68" s="14">
        <v>0</v>
      </c>
    </row>
    <row r="69" spans="1:7" x14ac:dyDescent="0.25">
      <c r="A69" s="13">
        <v>67</v>
      </c>
      <c r="B69" s="14">
        <v>18.399999999999999</v>
      </c>
      <c r="C69" s="14">
        <v>0</v>
      </c>
      <c r="D69" s="14">
        <v>19.399999999999999</v>
      </c>
      <c r="E69" s="14">
        <v>0</v>
      </c>
      <c r="F69" s="14">
        <v>21.2</v>
      </c>
      <c r="G69" s="14">
        <v>0</v>
      </c>
    </row>
    <row r="70" spans="1:7" x14ac:dyDescent="0.25">
      <c r="A70" s="13">
        <v>68</v>
      </c>
      <c r="B70" s="14">
        <v>17.600000000000001</v>
      </c>
      <c r="C70" s="14">
        <v>0</v>
      </c>
      <c r="D70" s="14">
        <v>18.600000000000001</v>
      </c>
      <c r="E70" s="14">
        <v>0</v>
      </c>
      <c r="F70" s="14">
        <v>20.399999999999999</v>
      </c>
      <c r="G70" s="14">
        <v>0</v>
      </c>
    </row>
    <row r="71" spans="1:7" x14ac:dyDescent="0.25">
      <c r="A71" s="13">
        <v>69</v>
      </c>
      <c r="B71" s="14">
        <v>16.8</v>
      </c>
      <c r="C71" s="14">
        <v>0</v>
      </c>
      <c r="D71" s="14">
        <v>17.8</v>
      </c>
      <c r="E71" s="14">
        <v>0</v>
      </c>
      <c r="F71" s="14">
        <v>19.600000000000001</v>
      </c>
      <c r="G71" s="14">
        <v>0</v>
      </c>
    </row>
    <row r="72" spans="1:7" x14ac:dyDescent="0.25">
      <c r="A72" s="13">
        <v>70</v>
      </c>
      <c r="B72" s="14">
        <v>16</v>
      </c>
      <c r="C72" s="14">
        <v>26.2</v>
      </c>
      <c r="D72" s="14">
        <v>17</v>
      </c>
      <c r="E72" s="14">
        <v>27.4</v>
      </c>
      <c r="F72" s="14">
        <v>18.8</v>
      </c>
      <c r="G72" s="14">
        <v>0</v>
      </c>
    </row>
    <row r="73" spans="1:7" x14ac:dyDescent="0.25">
      <c r="A73" s="13">
        <v>71</v>
      </c>
      <c r="B73" s="14">
        <v>15.3</v>
      </c>
      <c r="C73" s="14">
        <v>25.3</v>
      </c>
      <c r="D73" s="14">
        <v>16.3</v>
      </c>
      <c r="E73" s="14">
        <v>26.5</v>
      </c>
      <c r="F73" s="14">
        <v>18</v>
      </c>
      <c r="G73" s="14">
        <v>0</v>
      </c>
    </row>
    <row r="74" spans="1:7" x14ac:dyDescent="0.25">
      <c r="A74" s="13">
        <v>72</v>
      </c>
      <c r="B74" s="14">
        <v>14.6</v>
      </c>
      <c r="C74" s="14">
        <v>24.4</v>
      </c>
      <c r="D74" s="14">
        <v>15.5</v>
      </c>
      <c r="E74" s="14">
        <v>25.6</v>
      </c>
      <c r="F74" s="14">
        <v>17.2</v>
      </c>
      <c r="G74" s="14">
        <v>27.4</v>
      </c>
    </row>
    <row r="75" spans="1:7" x14ac:dyDescent="0.25">
      <c r="A75" s="13">
        <v>73</v>
      </c>
      <c r="B75" s="14">
        <v>13.9</v>
      </c>
      <c r="C75" s="14">
        <v>23.5</v>
      </c>
      <c r="D75" s="14">
        <v>14.8</v>
      </c>
      <c r="E75" s="14">
        <v>24.7</v>
      </c>
      <c r="F75" s="14">
        <v>16.399999999999999</v>
      </c>
      <c r="G75" s="14">
        <v>26.5</v>
      </c>
    </row>
    <row r="76" spans="1:7" x14ac:dyDescent="0.25">
      <c r="A76" s="13">
        <v>74</v>
      </c>
      <c r="B76" s="14">
        <v>13.2</v>
      </c>
      <c r="C76" s="14">
        <v>22.7</v>
      </c>
      <c r="D76" s="14">
        <v>14.1</v>
      </c>
      <c r="E76" s="14">
        <v>23.8</v>
      </c>
      <c r="F76" s="14">
        <v>15.6</v>
      </c>
      <c r="G76" s="14">
        <v>25.5</v>
      </c>
    </row>
    <row r="77" spans="1:7" x14ac:dyDescent="0.25">
      <c r="A77" s="13">
        <v>75</v>
      </c>
      <c r="B77" s="14">
        <v>12.5</v>
      </c>
      <c r="C77" s="14">
        <v>21.8</v>
      </c>
      <c r="D77" s="14">
        <v>13.4</v>
      </c>
      <c r="E77" s="14">
        <v>22.9</v>
      </c>
      <c r="F77" s="14">
        <v>14.8</v>
      </c>
      <c r="G77" s="14">
        <v>24.6</v>
      </c>
    </row>
    <row r="78" spans="1:7" x14ac:dyDescent="0.25">
      <c r="A78" s="13">
        <v>76</v>
      </c>
      <c r="B78" s="14">
        <v>11.9</v>
      </c>
      <c r="C78" s="14">
        <v>20.9</v>
      </c>
      <c r="D78" s="14">
        <v>12.7</v>
      </c>
      <c r="E78" s="14">
        <v>22</v>
      </c>
      <c r="F78" s="14">
        <v>14.1</v>
      </c>
      <c r="G78" s="14">
        <v>23.7</v>
      </c>
    </row>
    <row r="79" spans="1:7" x14ac:dyDescent="0.25">
      <c r="A79" s="13">
        <v>77</v>
      </c>
      <c r="B79" s="14">
        <v>11.2</v>
      </c>
      <c r="C79" s="14">
        <v>20.100000000000001</v>
      </c>
      <c r="D79" s="14">
        <v>12.1</v>
      </c>
      <c r="E79" s="14">
        <v>21.2</v>
      </c>
      <c r="F79" s="14">
        <v>13.3</v>
      </c>
      <c r="G79" s="14">
        <v>22.9</v>
      </c>
    </row>
    <row r="80" spans="1:7" x14ac:dyDescent="0.25">
      <c r="A80" s="13">
        <v>78</v>
      </c>
      <c r="B80" s="14">
        <v>10.6</v>
      </c>
      <c r="C80" s="14">
        <v>19.2</v>
      </c>
      <c r="D80" s="14">
        <v>11.4</v>
      </c>
      <c r="E80" s="14">
        <v>20.3</v>
      </c>
      <c r="F80" s="14">
        <v>12.6</v>
      </c>
      <c r="G80" s="14">
        <v>22</v>
      </c>
    </row>
    <row r="81" spans="1:7" x14ac:dyDescent="0.25">
      <c r="A81" s="13">
        <v>79</v>
      </c>
      <c r="B81" s="14">
        <v>10</v>
      </c>
      <c r="C81" s="14">
        <v>18.399999999999999</v>
      </c>
      <c r="D81" s="14">
        <v>10.8</v>
      </c>
      <c r="E81" s="14">
        <v>19.5</v>
      </c>
      <c r="F81" s="14">
        <v>11.9</v>
      </c>
      <c r="G81" s="14">
        <v>21.1</v>
      </c>
    </row>
    <row r="82" spans="1:7" x14ac:dyDescent="0.25">
      <c r="A82" s="13">
        <v>80</v>
      </c>
      <c r="B82" s="14">
        <v>9.5</v>
      </c>
      <c r="C82" s="14">
        <v>17.600000000000001</v>
      </c>
      <c r="D82" s="14">
        <v>10.199999999999999</v>
      </c>
      <c r="E82" s="14">
        <v>18.7</v>
      </c>
      <c r="F82" s="14">
        <v>11.2</v>
      </c>
      <c r="G82" s="14">
        <v>20.2</v>
      </c>
    </row>
    <row r="83" spans="1:7" x14ac:dyDescent="0.25">
      <c r="A83" s="13">
        <v>81</v>
      </c>
      <c r="B83" s="14">
        <v>8.9</v>
      </c>
      <c r="C83" s="14">
        <v>16.8</v>
      </c>
      <c r="D83" s="14">
        <v>9.6999999999999993</v>
      </c>
      <c r="E83" s="14">
        <v>17.899999999999999</v>
      </c>
      <c r="F83" s="14">
        <v>10.5</v>
      </c>
      <c r="G83" s="14">
        <v>19.399999999999999</v>
      </c>
    </row>
    <row r="84" spans="1:7" x14ac:dyDescent="0.25">
      <c r="A84" s="13">
        <v>82</v>
      </c>
      <c r="B84" s="14">
        <v>8.4</v>
      </c>
      <c r="C84" s="14">
        <v>16</v>
      </c>
      <c r="D84" s="14">
        <v>9.1</v>
      </c>
      <c r="E84" s="14">
        <v>17.100000000000001</v>
      </c>
      <c r="F84" s="14">
        <v>9.9</v>
      </c>
      <c r="G84" s="14">
        <v>18.5</v>
      </c>
    </row>
    <row r="85" spans="1:7" x14ac:dyDescent="0.25">
      <c r="A85" s="13">
        <v>83</v>
      </c>
      <c r="B85" s="14">
        <v>7.9</v>
      </c>
      <c r="C85" s="14">
        <v>15.3</v>
      </c>
      <c r="D85" s="14">
        <v>8.6</v>
      </c>
      <c r="E85" s="14">
        <v>16.3</v>
      </c>
      <c r="F85" s="14">
        <v>9.3000000000000007</v>
      </c>
      <c r="G85" s="14">
        <v>17.7</v>
      </c>
    </row>
    <row r="86" spans="1:7" x14ac:dyDescent="0.25">
      <c r="A86" s="13">
        <v>84</v>
      </c>
      <c r="B86" s="14">
        <v>7.4</v>
      </c>
      <c r="C86" s="14">
        <v>14.5</v>
      </c>
      <c r="D86" s="14">
        <v>8.1</v>
      </c>
      <c r="E86" s="14">
        <v>15.5</v>
      </c>
      <c r="F86" s="14">
        <v>8.6999999999999993</v>
      </c>
      <c r="G86" s="14">
        <v>16.8</v>
      </c>
    </row>
    <row r="87" spans="1:7" x14ac:dyDescent="0.25">
      <c r="A87" s="13">
        <v>85</v>
      </c>
      <c r="B87" s="14">
        <v>6.9</v>
      </c>
      <c r="C87" s="14">
        <v>13.8</v>
      </c>
      <c r="D87" s="14">
        <v>7.6</v>
      </c>
      <c r="E87" s="14">
        <v>14.8</v>
      </c>
      <c r="F87" s="14">
        <v>8.1</v>
      </c>
      <c r="G87" s="14">
        <v>16</v>
      </c>
    </row>
    <row r="88" spans="1:7" x14ac:dyDescent="0.25">
      <c r="A88" s="13">
        <v>86</v>
      </c>
      <c r="B88" s="14">
        <v>6.5</v>
      </c>
      <c r="C88" s="14">
        <v>13.1</v>
      </c>
      <c r="D88" s="14">
        <v>7.1</v>
      </c>
      <c r="E88" s="14">
        <v>14.1</v>
      </c>
      <c r="F88" s="14">
        <v>7.6</v>
      </c>
      <c r="G88" s="14">
        <v>15.2</v>
      </c>
    </row>
    <row r="89" spans="1:7" x14ac:dyDescent="0.25">
      <c r="A89" s="13">
        <v>87</v>
      </c>
      <c r="B89" s="14">
        <v>6.1</v>
      </c>
      <c r="C89" s="14">
        <v>12.4</v>
      </c>
      <c r="D89" s="14">
        <v>6.7</v>
      </c>
      <c r="E89" s="14">
        <v>13.4</v>
      </c>
      <c r="F89" s="14">
        <v>7.1</v>
      </c>
      <c r="G89" s="14">
        <v>14.4</v>
      </c>
    </row>
    <row r="90" spans="1:7" x14ac:dyDescent="0.25">
      <c r="A90" s="13">
        <v>88</v>
      </c>
      <c r="B90" s="14">
        <v>5.7</v>
      </c>
      <c r="C90" s="14">
        <v>11.8</v>
      </c>
      <c r="D90" s="14">
        <v>6.3</v>
      </c>
      <c r="E90" s="14">
        <v>12.7</v>
      </c>
      <c r="F90" s="14">
        <v>6.6</v>
      </c>
      <c r="G90" s="14">
        <v>13.7</v>
      </c>
    </row>
    <row r="91" spans="1:7" x14ac:dyDescent="0.25">
      <c r="A91" s="13">
        <v>89</v>
      </c>
      <c r="B91" s="14">
        <v>5.3</v>
      </c>
      <c r="C91" s="14">
        <v>11.1</v>
      </c>
      <c r="D91" s="14">
        <v>5.9</v>
      </c>
      <c r="E91" s="14">
        <v>12</v>
      </c>
      <c r="F91" s="14">
        <v>6.1</v>
      </c>
      <c r="G91" s="14">
        <v>12.9</v>
      </c>
    </row>
    <row r="92" spans="1:7" x14ac:dyDescent="0.25">
      <c r="A92" s="13">
        <v>90</v>
      </c>
      <c r="B92" s="14">
        <v>5</v>
      </c>
      <c r="C92" s="14">
        <v>10.5</v>
      </c>
      <c r="D92" s="14">
        <v>5.5</v>
      </c>
      <c r="E92" s="14">
        <v>11.4</v>
      </c>
      <c r="F92" s="14">
        <v>5.7</v>
      </c>
      <c r="G92" s="14">
        <v>12.2</v>
      </c>
    </row>
    <row r="93" spans="1:7" x14ac:dyDescent="0.25">
      <c r="A93" s="13">
        <v>91</v>
      </c>
      <c r="B93" s="14">
        <v>4.7</v>
      </c>
      <c r="C93" s="14">
        <v>9.9</v>
      </c>
      <c r="D93" s="14">
        <v>5.2</v>
      </c>
      <c r="E93" s="14">
        <v>10.8</v>
      </c>
      <c r="F93" s="14">
        <v>5.3</v>
      </c>
      <c r="G93" s="14">
        <v>11.5</v>
      </c>
    </row>
    <row r="94" spans="1:7" x14ac:dyDescent="0.25">
      <c r="A94" s="13">
        <v>92</v>
      </c>
      <c r="B94" s="14">
        <v>4.4000000000000004</v>
      </c>
      <c r="C94" s="14">
        <v>9.4</v>
      </c>
      <c r="D94" s="14">
        <v>4.9000000000000004</v>
      </c>
      <c r="E94" s="14">
        <v>10.199999999999999</v>
      </c>
      <c r="F94" s="14">
        <v>4.9000000000000004</v>
      </c>
      <c r="G94" s="14">
        <v>10.8</v>
      </c>
    </row>
    <row r="95" spans="1:7" x14ac:dyDescent="0.25">
      <c r="A95" s="13">
        <v>93</v>
      </c>
      <c r="B95" s="14">
        <v>4.0999999999999996</v>
      </c>
      <c r="C95" s="14">
        <v>8.8000000000000007</v>
      </c>
      <c r="D95" s="14">
        <v>4.5999999999999996</v>
      </c>
      <c r="E95" s="14">
        <v>9.6</v>
      </c>
      <c r="F95" s="14">
        <v>4.5999999999999996</v>
      </c>
      <c r="G95" s="14">
        <v>10.1</v>
      </c>
    </row>
    <row r="96" spans="1:7" x14ac:dyDescent="0.25">
      <c r="A96" s="13">
        <v>94</v>
      </c>
      <c r="B96" s="14">
        <v>3.9</v>
      </c>
      <c r="C96" s="14">
        <v>8.3000000000000007</v>
      </c>
      <c r="D96" s="14">
        <v>4.3</v>
      </c>
      <c r="E96" s="14">
        <v>9.1</v>
      </c>
      <c r="F96" s="14">
        <v>4.3</v>
      </c>
      <c r="G96" s="14">
        <v>9.5</v>
      </c>
    </row>
    <row r="97" spans="1:7" x14ac:dyDescent="0.25">
      <c r="A97" s="13">
        <v>95</v>
      </c>
      <c r="B97" s="14">
        <v>3.7</v>
      </c>
      <c r="C97" s="14">
        <v>7.8</v>
      </c>
      <c r="D97" s="14">
        <v>4.0999999999999996</v>
      </c>
      <c r="E97" s="14">
        <v>8.6</v>
      </c>
      <c r="F97" s="14">
        <v>4</v>
      </c>
      <c r="G97" s="14">
        <v>8.9</v>
      </c>
    </row>
    <row r="98" spans="1:7" x14ac:dyDescent="0.25">
      <c r="A98" s="13">
        <v>96</v>
      </c>
      <c r="B98" s="14">
        <v>3.4</v>
      </c>
      <c r="C98" s="14">
        <v>7.3</v>
      </c>
      <c r="D98" s="14">
        <v>3.8</v>
      </c>
      <c r="E98" s="14">
        <v>8.1</v>
      </c>
      <c r="F98" s="14">
        <v>3.7</v>
      </c>
      <c r="G98" s="14">
        <v>8.4</v>
      </c>
    </row>
    <row r="99" spans="1:7" x14ac:dyDescent="0.25">
      <c r="A99" s="13">
        <v>97</v>
      </c>
      <c r="B99" s="14">
        <v>3.2</v>
      </c>
      <c r="C99" s="14">
        <v>6.9</v>
      </c>
      <c r="D99" s="14">
        <v>3.6</v>
      </c>
      <c r="E99" s="14">
        <v>7.6</v>
      </c>
      <c r="F99" s="14">
        <v>3.4</v>
      </c>
      <c r="G99" s="14">
        <v>7.8</v>
      </c>
    </row>
    <row r="100" spans="1:7" x14ac:dyDescent="0.25">
      <c r="A100" s="13">
        <v>98</v>
      </c>
      <c r="B100" s="14">
        <v>3</v>
      </c>
      <c r="C100" s="14">
        <v>6.5</v>
      </c>
      <c r="D100" s="14">
        <v>3.4</v>
      </c>
      <c r="E100" s="14">
        <v>7.1</v>
      </c>
      <c r="F100" s="14">
        <v>3.2</v>
      </c>
      <c r="G100" s="14">
        <v>7.3</v>
      </c>
    </row>
    <row r="101" spans="1:7" x14ac:dyDescent="0.25">
      <c r="A101" s="13">
        <v>99</v>
      </c>
      <c r="B101" s="14">
        <v>2.8</v>
      </c>
      <c r="C101" s="14">
        <v>6.1</v>
      </c>
      <c r="D101" s="14">
        <v>3.1</v>
      </c>
      <c r="E101" s="14">
        <v>6.7</v>
      </c>
      <c r="F101" s="14">
        <v>3</v>
      </c>
      <c r="G101" s="14">
        <v>6.8</v>
      </c>
    </row>
    <row r="102" spans="1:7" x14ac:dyDescent="0.25">
      <c r="A102" s="13">
        <v>100</v>
      </c>
      <c r="B102" s="14">
        <v>2.7</v>
      </c>
      <c r="C102" s="14">
        <v>5.7</v>
      </c>
      <c r="D102" s="14">
        <v>2.9</v>
      </c>
      <c r="E102" s="14">
        <v>6.3</v>
      </c>
      <c r="F102" s="14">
        <v>2.8</v>
      </c>
      <c r="G102" s="14">
        <v>6.4</v>
      </c>
    </row>
    <row r="103" spans="1:7" x14ac:dyDescent="0.25">
      <c r="A103" s="13">
        <v>101</v>
      </c>
      <c r="B103" s="14">
        <v>2.5</v>
      </c>
      <c r="C103" s="14">
        <v>5.3</v>
      </c>
      <c r="D103" s="14">
        <v>2.7</v>
      </c>
      <c r="E103" s="14">
        <v>5.9</v>
      </c>
      <c r="F103" s="14">
        <v>2.6</v>
      </c>
      <c r="G103" s="14">
        <v>6</v>
      </c>
    </row>
    <row r="104" spans="1:7" x14ac:dyDescent="0.25">
      <c r="A104" s="13">
        <v>102</v>
      </c>
      <c r="B104" s="14">
        <v>2.2999999999999998</v>
      </c>
      <c r="C104" s="14">
        <v>5</v>
      </c>
      <c r="D104" s="14">
        <v>2.5</v>
      </c>
      <c r="E104" s="14">
        <v>5.5</v>
      </c>
      <c r="F104" s="14">
        <v>2.5</v>
      </c>
      <c r="G104" s="14">
        <v>5.6</v>
      </c>
    </row>
    <row r="105" spans="1:7" x14ac:dyDescent="0.25">
      <c r="A105" s="13">
        <v>103</v>
      </c>
      <c r="B105" s="14">
        <v>2.1</v>
      </c>
      <c r="C105" s="14">
        <v>4.7</v>
      </c>
      <c r="D105" s="14">
        <v>2.2999999999999998</v>
      </c>
      <c r="E105" s="14">
        <v>5.2</v>
      </c>
      <c r="F105" s="14">
        <v>2.2999999999999998</v>
      </c>
      <c r="G105" s="14">
        <v>5.2</v>
      </c>
    </row>
    <row r="106" spans="1:7" x14ac:dyDescent="0.25">
      <c r="A106" s="13">
        <v>104</v>
      </c>
      <c r="B106" s="14">
        <v>1.9</v>
      </c>
      <c r="C106" s="14">
        <v>4.4000000000000004</v>
      </c>
      <c r="D106" s="14">
        <v>2.1</v>
      </c>
      <c r="E106" s="14">
        <v>4.9000000000000004</v>
      </c>
      <c r="F106" s="14">
        <v>2.2000000000000002</v>
      </c>
      <c r="G106" s="14">
        <v>4.9000000000000004</v>
      </c>
    </row>
    <row r="107" spans="1:7" x14ac:dyDescent="0.25">
      <c r="A107" s="13">
        <v>105</v>
      </c>
      <c r="B107" s="14">
        <v>1.8</v>
      </c>
      <c r="C107" s="14">
        <v>4.0999999999999996</v>
      </c>
      <c r="D107" s="14">
        <v>1.9</v>
      </c>
      <c r="E107" s="14">
        <v>4.5</v>
      </c>
      <c r="F107" s="14">
        <v>2.1</v>
      </c>
      <c r="G107" s="14">
        <v>4.5999999999999996</v>
      </c>
    </row>
    <row r="108" spans="1:7" x14ac:dyDescent="0.25">
      <c r="A108" s="13">
        <v>106</v>
      </c>
      <c r="B108" s="14">
        <v>1.6</v>
      </c>
      <c r="C108" s="14">
        <v>3.8</v>
      </c>
      <c r="D108" s="14">
        <v>1.7</v>
      </c>
      <c r="E108" s="14">
        <v>4.2</v>
      </c>
      <c r="F108" s="14">
        <v>2.1</v>
      </c>
      <c r="G108" s="14">
        <v>4.3</v>
      </c>
    </row>
    <row r="109" spans="1:7" x14ac:dyDescent="0.25">
      <c r="A109" s="13">
        <v>107</v>
      </c>
      <c r="B109" s="14">
        <v>1.4</v>
      </c>
      <c r="C109" s="14">
        <v>3.6</v>
      </c>
      <c r="D109" s="14">
        <v>1.5</v>
      </c>
      <c r="E109" s="14">
        <v>3.9</v>
      </c>
      <c r="F109" s="14">
        <v>2.1</v>
      </c>
      <c r="G109" s="14">
        <v>4.0999999999999996</v>
      </c>
    </row>
    <row r="110" spans="1:7" x14ac:dyDescent="0.25">
      <c r="A110" s="13">
        <v>108</v>
      </c>
      <c r="B110" s="14">
        <v>1.3</v>
      </c>
      <c r="C110" s="14">
        <v>3.3</v>
      </c>
      <c r="D110" s="14">
        <v>1.4</v>
      </c>
      <c r="E110" s="14">
        <v>3.7</v>
      </c>
      <c r="F110" s="14">
        <v>2</v>
      </c>
      <c r="G110" s="14">
        <v>3.9</v>
      </c>
    </row>
    <row r="111" spans="1:7" x14ac:dyDescent="0.25">
      <c r="A111" s="13">
        <v>109</v>
      </c>
      <c r="B111" s="14">
        <v>1.1000000000000001</v>
      </c>
      <c r="C111" s="14">
        <v>3.1</v>
      </c>
      <c r="D111" s="14">
        <v>1.2</v>
      </c>
      <c r="E111" s="14">
        <v>3.4</v>
      </c>
      <c r="F111" s="14">
        <v>2</v>
      </c>
      <c r="G111" s="14">
        <v>3.7</v>
      </c>
    </row>
    <row r="112" spans="1:7" x14ac:dyDescent="0.25">
      <c r="A112" s="13">
        <v>110</v>
      </c>
      <c r="B112" s="14">
        <v>1</v>
      </c>
      <c r="C112" s="14">
        <v>2.8</v>
      </c>
      <c r="D112" s="14">
        <v>1.1000000000000001</v>
      </c>
      <c r="E112" s="14">
        <v>3.1</v>
      </c>
      <c r="F112" s="14">
        <v>2</v>
      </c>
      <c r="G112" s="14">
        <v>3.5</v>
      </c>
    </row>
    <row r="113" spans="1:7" x14ac:dyDescent="0.25">
      <c r="A113" s="13">
        <v>111</v>
      </c>
      <c r="B113" s="14">
        <v>1</v>
      </c>
      <c r="C113" s="14">
        <v>2.6</v>
      </c>
      <c r="D113" s="14">
        <v>1</v>
      </c>
      <c r="E113" s="14">
        <v>2.9</v>
      </c>
      <c r="F113" s="14">
        <v>2</v>
      </c>
      <c r="G113" s="14">
        <v>3.4</v>
      </c>
    </row>
    <row r="114" spans="1:7" x14ac:dyDescent="0.25">
      <c r="A114" s="13">
        <v>112</v>
      </c>
      <c r="B114" s="14">
        <v>1</v>
      </c>
      <c r="C114" s="14">
        <v>2.4</v>
      </c>
      <c r="D114" s="14">
        <v>1</v>
      </c>
      <c r="E114" s="14">
        <v>2.6</v>
      </c>
      <c r="F114" s="14">
        <v>2</v>
      </c>
      <c r="G114" s="14">
        <v>3.3</v>
      </c>
    </row>
    <row r="115" spans="1:7" x14ac:dyDescent="0.25">
      <c r="A115" s="13">
        <v>113</v>
      </c>
      <c r="B115" s="14">
        <v>1</v>
      </c>
      <c r="C115" s="14">
        <v>2.2000000000000002</v>
      </c>
      <c r="D115" s="14">
        <v>1</v>
      </c>
      <c r="E115" s="14">
        <v>2.4</v>
      </c>
      <c r="F115" s="14">
        <v>1.9</v>
      </c>
      <c r="G115" s="14">
        <v>3.1</v>
      </c>
    </row>
    <row r="116" spans="1:7" x14ac:dyDescent="0.25">
      <c r="A116" s="13">
        <v>114</v>
      </c>
      <c r="B116" s="14">
        <v>1</v>
      </c>
      <c r="C116" s="14">
        <v>2</v>
      </c>
      <c r="D116" s="14">
        <v>1</v>
      </c>
      <c r="E116" s="14">
        <v>2.1</v>
      </c>
      <c r="F116" s="14">
        <v>1.9</v>
      </c>
      <c r="G116" s="14">
        <v>3</v>
      </c>
    </row>
    <row r="117" spans="1:7" x14ac:dyDescent="0.25">
      <c r="A117" s="13">
        <v>115</v>
      </c>
      <c r="B117" s="14">
        <v>1</v>
      </c>
      <c r="C117" s="14">
        <v>1.8</v>
      </c>
      <c r="D117" s="14">
        <v>1</v>
      </c>
      <c r="E117" s="14">
        <v>1.9</v>
      </c>
      <c r="F117" s="14">
        <v>1.8</v>
      </c>
      <c r="G117" s="14">
        <v>2.9</v>
      </c>
    </row>
    <row r="118" spans="1:7" x14ac:dyDescent="0.25">
      <c r="A118" s="13">
        <v>116</v>
      </c>
      <c r="B118" s="14">
        <v>1</v>
      </c>
      <c r="C118" s="14">
        <v>1.8</v>
      </c>
      <c r="D118" s="14">
        <v>1</v>
      </c>
      <c r="E118" s="14">
        <v>1.9</v>
      </c>
      <c r="F118" s="14">
        <v>1.8</v>
      </c>
      <c r="G118" s="14">
        <v>2.8</v>
      </c>
    </row>
    <row r="119" spans="1:7" x14ac:dyDescent="0.25">
      <c r="A119" s="13">
        <v>117</v>
      </c>
      <c r="B119" s="14">
        <v>1</v>
      </c>
      <c r="C119" s="14">
        <v>1.8</v>
      </c>
      <c r="D119" s="14">
        <v>1</v>
      </c>
      <c r="E119" s="14">
        <v>1.9</v>
      </c>
      <c r="F119" s="14">
        <v>1.6</v>
      </c>
      <c r="G119" s="14">
        <v>2.7</v>
      </c>
    </row>
    <row r="120" spans="1:7" x14ac:dyDescent="0.25">
      <c r="A120" s="13">
        <v>118</v>
      </c>
      <c r="B120" s="14">
        <v>1</v>
      </c>
      <c r="C120" s="14">
        <v>1.8</v>
      </c>
      <c r="D120" s="14">
        <v>1</v>
      </c>
      <c r="E120" s="14">
        <v>1.9</v>
      </c>
      <c r="F120" s="14">
        <v>1.4</v>
      </c>
      <c r="G120" s="14">
        <v>2.5</v>
      </c>
    </row>
    <row r="121" spans="1:7" x14ac:dyDescent="0.25">
      <c r="A121" s="13">
        <v>119</v>
      </c>
      <c r="B121" s="14">
        <v>1</v>
      </c>
      <c r="C121" s="14">
        <v>1.8</v>
      </c>
      <c r="D121" s="14">
        <v>1</v>
      </c>
      <c r="E121" s="14">
        <v>1.9</v>
      </c>
      <c r="F121" s="14">
        <v>1.1000000000000001</v>
      </c>
      <c r="G121" s="14">
        <v>2.2999999999999998</v>
      </c>
    </row>
    <row r="122" spans="1:7" x14ac:dyDescent="0.25">
      <c r="A122" s="13">
        <v>120</v>
      </c>
      <c r="B122" s="14">
        <v>1</v>
      </c>
      <c r="C122" s="14">
        <v>1.8</v>
      </c>
      <c r="D122" s="14">
        <v>1</v>
      </c>
      <c r="E122" s="14">
        <v>1.9</v>
      </c>
      <c r="F122" s="14">
        <v>1</v>
      </c>
      <c r="G122" s="14">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2"/>
  <sheetViews>
    <sheetView zoomScale="120" zoomScaleNormal="120" workbookViewId="0">
      <selection activeCell="K7" sqref="K7"/>
    </sheetView>
  </sheetViews>
  <sheetFormatPr defaultRowHeight="15" x14ac:dyDescent="0.25"/>
  <cols>
    <col min="1" max="1" width="8" bestFit="1" customWidth="1"/>
    <col min="2" max="2" width="18.85546875" bestFit="1" customWidth="1"/>
    <col min="3" max="5" width="11.85546875" bestFit="1" customWidth="1"/>
    <col min="6" max="6" width="13" bestFit="1" customWidth="1"/>
    <col min="7" max="10" width="9.140625" style="44"/>
    <col min="11" max="11" width="10.140625" bestFit="1" customWidth="1"/>
    <col min="12" max="12" width="12.85546875" bestFit="1" customWidth="1"/>
  </cols>
  <sheetData>
    <row r="1" spans="1:12" s="3" customFormat="1" x14ac:dyDescent="0.25">
      <c r="A1" s="4" t="s">
        <v>19</v>
      </c>
      <c r="B1" s="3" t="s">
        <v>1</v>
      </c>
      <c r="C1" s="7">
        <v>2023</v>
      </c>
      <c r="D1" s="7">
        <v>2024</v>
      </c>
      <c r="E1" s="7">
        <v>2025</v>
      </c>
      <c r="F1" s="3">
        <v>2026</v>
      </c>
      <c r="G1" s="43" t="s">
        <v>83</v>
      </c>
      <c r="H1" s="43" t="s">
        <v>81</v>
      </c>
      <c r="I1" s="43" t="s">
        <v>82</v>
      </c>
      <c r="J1" s="43" t="s">
        <v>84</v>
      </c>
      <c r="K1" s="3" t="s">
        <v>86</v>
      </c>
      <c r="L1" s="3" t="s">
        <v>87</v>
      </c>
    </row>
    <row r="2" spans="1:12" x14ac:dyDescent="0.25">
      <c r="A2" s="2" t="s">
        <v>71</v>
      </c>
      <c r="B2" t="s">
        <v>2</v>
      </c>
      <c r="C2" s="5">
        <v>170178</v>
      </c>
      <c r="D2" s="5">
        <v>182998</v>
      </c>
      <c r="E2" s="6">
        <v>110000</v>
      </c>
      <c r="F2" s="6">
        <v>106371</v>
      </c>
      <c r="G2" s="44">
        <f>$F3/$F12</f>
        <v>8.0180952380952374E-3</v>
      </c>
      <c r="H2" s="44">
        <f>$F4/$F12</f>
        <v>7.8680952380952383E-3</v>
      </c>
      <c r="I2" s="44">
        <f>$F5/$F12</f>
        <v>2.4709999999999999E-2</v>
      </c>
      <c r="J2" s="44">
        <f>$F8/$F12</f>
        <v>3.1041428571428571E-2</v>
      </c>
      <c r="K2" t="s">
        <v>88</v>
      </c>
      <c r="L2" t="s">
        <v>89</v>
      </c>
    </row>
    <row r="3" spans="1:12" x14ac:dyDescent="0.25">
      <c r="A3" s="2" t="s">
        <v>12</v>
      </c>
      <c r="B3" t="s">
        <v>3</v>
      </c>
      <c r="C3" s="5">
        <v>26812</v>
      </c>
      <c r="D3" s="5">
        <v>22750</v>
      </c>
      <c r="E3" s="5">
        <v>22750</v>
      </c>
      <c r="F3" s="5">
        <v>16838</v>
      </c>
      <c r="K3" t="s">
        <v>80</v>
      </c>
      <c r="L3" t="s">
        <v>90</v>
      </c>
    </row>
    <row r="4" spans="1:12" x14ac:dyDescent="0.25">
      <c r="A4" s="2" t="s">
        <v>13</v>
      </c>
      <c r="B4" t="s">
        <v>4</v>
      </c>
      <c r="C4" s="5">
        <v>11987</v>
      </c>
      <c r="D4" s="5">
        <v>12771</v>
      </c>
      <c r="E4" s="5">
        <v>12771</v>
      </c>
      <c r="F4" s="5">
        <v>16523</v>
      </c>
      <c r="K4" t="s">
        <v>91</v>
      </c>
      <c r="L4" t="s">
        <v>92</v>
      </c>
    </row>
    <row r="5" spans="1:12" x14ac:dyDescent="0.25">
      <c r="A5" s="2" t="s">
        <v>14</v>
      </c>
      <c r="B5" t="s">
        <v>5</v>
      </c>
      <c r="C5" s="5">
        <v>26288</v>
      </c>
      <c r="D5" s="5">
        <v>47563</v>
      </c>
      <c r="E5" s="5">
        <v>47563</v>
      </c>
      <c r="F5" s="5">
        <v>51891</v>
      </c>
      <c r="K5" t="s">
        <v>93</v>
      </c>
      <c r="L5" t="s">
        <v>94</v>
      </c>
    </row>
    <row r="6" spans="1:12" x14ac:dyDescent="0.25">
      <c r="A6" s="2" t="s">
        <v>15</v>
      </c>
      <c r="B6" t="s">
        <v>6</v>
      </c>
      <c r="C6" s="5">
        <v>3587</v>
      </c>
      <c r="D6" s="5">
        <v>4224</v>
      </c>
      <c r="E6" s="5">
        <v>4224</v>
      </c>
      <c r="F6" s="5">
        <v>4714</v>
      </c>
      <c r="K6" t="s">
        <v>95</v>
      </c>
    </row>
    <row r="7" spans="1:12" x14ac:dyDescent="0.25">
      <c r="A7" s="2" t="s">
        <v>73</v>
      </c>
      <c r="B7" t="s">
        <v>72</v>
      </c>
      <c r="C7" s="5">
        <v>0</v>
      </c>
      <c r="D7" s="5">
        <v>0</v>
      </c>
      <c r="E7" s="5">
        <v>0</v>
      </c>
      <c r="F7" s="5">
        <v>7227</v>
      </c>
    </row>
    <row r="8" spans="1:12" x14ac:dyDescent="0.25">
      <c r="A8" s="2" t="s">
        <v>16</v>
      </c>
      <c r="B8" t="s">
        <v>7</v>
      </c>
      <c r="C8" s="5">
        <v>-88</v>
      </c>
      <c r="D8" s="5">
        <v>144059</v>
      </c>
      <c r="E8" s="5">
        <v>0</v>
      </c>
      <c r="F8" s="5">
        <v>65187</v>
      </c>
    </row>
    <row r="9" spans="1:12" x14ac:dyDescent="0.25">
      <c r="A9" s="2" t="s">
        <v>17</v>
      </c>
      <c r="B9" t="s">
        <v>8</v>
      </c>
      <c r="C9" s="5">
        <v>13850</v>
      </c>
      <c r="D9" s="5">
        <v>14640</v>
      </c>
      <c r="E9" s="5">
        <v>14640</v>
      </c>
    </row>
    <row r="10" spans="1:12" x14ac:dyDescent="0.25">
      <c r="A10" s="2" t="s">
        <v>18</v>
      </c>
      <c r="B10" t="s">
        <v>10</v>
      </c>
      <c r="C10" s="6">
        <f>SUM(C2:C8)</f>
        <v>238764</v>
      </c>
      <c r="D10" s="6">
        <f>SUM(D2:D8)</f>
        <v>414365</v>
      </c>
      <c r="E10" s="6">
        <f>SUM(E2:E8)</f>
        <v>197308</v>
      </c>
      <c r="F10" s="5">
        <v>252228</v>
      </c>
    </row>
    <row r="12" spans="1:12" x14ac:dyDescent="0.25">
      <c r="B12" t="s">
        <v>85</v>
      </c>
      <c r="F12" s="42">
        <v>2100000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E5" sqref="E5"/>
    </sheetView>
  </sheetViews>
  <sheetFormatPr defaultRowHeight="15" x14ac:dyDescent="0.25"/>
  <cols>
    <col min="1" max="1" width="20.85546875" bestFit="1" customWidth="1"/>
    <col min="2" max="2" width="14.7109375" bestFit="1" customWidth="1"/>
    <col min="3" max="3" width="14.140625" customWidth="1"/>
    <col min="4" max="4" width="92" style="8" bestFit="1" customWidth="1"/>
    <col min="5" max="5" width="46.5703125" bestFit="1" customWidth="1"/>
  </cols>
  <sheetData>
    <row r="1" spans="1:5" s="1" customFormat="1" x14ac:dyDescent="0.25">
      <c r="A1" s="1" t="s">
        <v>24</v>
      </c>
      <c r="B1" s="1" t="s">
        <v>25</v>
      </c>
      <c r="D1" s="10" t="s">
        <v>26</v>
      </c>
      <c r="E1" s="1" t="s">
        <v>27</v>
      </c>
    </row>
    <row r="2" spans="1:5" x14ac:dyDescent="0.25">
      <c r="A2" t="s">
        <v>22</v>
      </c>
      <c r="B2" s="11"/>
      <c r="C2" s="11"/>
      <c r="D2" s="12"/>
    </row>
    <row r="3" spans="1:5" ht="30" x14ac:dyDescent="0.25">
      <c r="B3" t="s">
        <v>21</v>
      </c>
      <c r="C3" s="8" t="s">
        <v>31</v>
      </c>
      <c r="D3" s="8" t="s">
        <v>36</v>
      </c>
    </row>
    <row r="4" spans="1:5" ht="30" x14ac:dyDescent="0.25">
      <c r="C4" s="8" t="s">
        <v>32</v>
      </c>
      <c r="D4" s="8" t="s">
        <v>37</v>
      </c>
    </row>
    <row r="5" spans="1:5" ht="75" x14ac:dyDescent="0.25">
      <c r="C5" s="8" t="s">
        <v>34</v>
      </c>
      <c r="D5" s="8" t="s">
        <v>38</v>
      </c>
      <c r="E5" s="9" t="s">
        <v>23</v>
      </c>
    </row>
    <row r="6" spans="1:5" ht="45" x14ac:dyDescent="0.25">
      <c r="C6" s="8" t="s">
        <v>33</v>
      </c>
      <c r="D6" s="8" t="s">
        <v>39</v>
      </c>
      <c r="E6" s="9"/>
    </row>
    <row r="7" spans="1:5" x14ac:dyDescent="0.25">
      <c r="B7" t="s">
        <v>20</v>
      </c>
      <c r="E7" s="9"/>
    </row>
    <row r="8" spans="1:5" ht="75" x14ac:dyDescent="0.25">
      <c r="A8" t="s">
        <v>30</v>
      </c>
      <c r="B8" t="s">
        <v>35</v>
      </c>
      <c r="D8" s="8" t="s">
        <v>29</v>
      </c>
      <c r="E8" s="9" t="s">
        <v>28</v>
      </c>
    </row>
  </sheetData>
  <hyperlinks>
    <hyperlink ref="E8"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workbookViewId="0">
      <pane ySplit="1" topLeftCell="A2" activePane="bottomLeft" state="frozen"/>
      <selection pane="bottomLeft" activeCell="F2" sqref="F2"/>
    </sheetView>
  </sheetViews>
  <sheetFormatPr defaultRowHeight="15" x14ac:dyDescent="0.25"/>
  <cols>
    <col min="1" max="1" width="7.140625" style="18" bestFit="1" customWidth="1"/>
    <col min="2" max="2" width="20.28515625" style="18" bestFit="1" customWidth="1"/>
    <col min="3" max="3" width="10.7109375" style="19" bestFit="1" customWidth="1"/>
    <col min="4" max="4" width="11.42578125" style="20" bestFit="1" customWidth="1"/>
    <col min="5" max="5" width="14.7109375" style="20" bestFit="1" customWidth="1"/>
    <col min="6" max="6" width="11.42578125" style="20" bestFit="1" customWidth="1"/>
    <col min="7" max="7" width="14.7109375" style="20" bestFit="1" customWidth="1"/>
    <col min="8" max="8" width="11.42578125" style="20" bestFit="1" customWidth="1"/>
    <col min="9" max="9" width="14.7109375" style="20" bestFit="1" customWidth="1"/>
    <col min="10" max="10" width="9.140625" style="26"/>
    <col min="11" max="16384" width="9.140625" style="20"/>
  </cols>
  <sheetData>
    <row r="1" spans="1:15" s="17" customFormat="1" x14ac:dyDescent="0.25">
      <c r="A1" s="15" t="s">
        <v>9</v>
      </c>
      <c r="B1" s="15" t="s">
        <v>52</v>
      </c>
      <c r="C1" s="16" t="s">
        <v>44</v>
      </c>
      <c r="D1" s="17" t="s">
        <v>40</v>
      </c>
      <c r="E1" s="17" t="s">
        <v>41</v>
      </c>
      <c r="F1" s="17" t="s">
        <v>55</v>
      </c>
      <c r="G1" s="17" t="s">
        <v>56</v>
      </c>
      <c r="H1" s="17" t="s">
        <v>42</v>
      </c>
      <c r="I1" s="17" t="s">
        <v>43</v>
      </c>
      <c r="J1" s="25" t="s">
        <v>46</v>
      </c>
      <c r="K1" s="17" t="s">
        <v>47</v>
      </c>
      <c r="L1" s="17" t="s">
        <v>48</v>
      </c>
      <c r="M1" s="17" t="s">
        <v>49</v>
      </c>
      <c r="N1" s="17" t="s">
        <v>50</v>
      </c>
      <c r="O1" s="17" t="s">
        <v>51</v>
      </c>
    </row>
    <row r="2" spans="1:15" x14ac:dyDescent="0.25">
      <c r="A2" s="18">
        <v>2025</v>
      </c>
      <c r="B2" s="18" t="s">
        <v>53</v>
      </c>
      <c r="D2" s="20">
        <v>88100</v>
      </c>
      <c r="E2" s="20">
        <v>626350</v>
      </c>
      <c r="F2" s="20">
        <v>137000</v>
      </c>
      <c r="G2" s="20">
        <v>1252700</v>
      </c>
      <c r="J2" s="26">
        <f t="shared" ref="J2:J13" si="0">IFERROR(1 - (D14/D2),0)</f>
        <v>2.7241770715096481E-2</v>
      </c>
      <c r="K2" s="26">
        <f t="shared" ref="K2:K13" si="1">IFERROR(1 - (E14/E2),0)</f>
        <v>2.7141374630797466E-2</v>
      </c>
      <c r="L2" s="26">
        <f t="shared" ref="L2:L13" si="2">IFERROR(1 - (F14/F2),0)</f>
        <v>2.7007299270072949E-2</v>
      </c>
      <c r="M2" s="26">
        <f t="shared" ref="M2:M13" si="3">IFERROR(1 - (G14/G2),0)</f>
        <v>2.7141374630797466E-2</v>
      </c>
      <c r="N2" s="26">
        <f t="shared" ref="N2:N13" si="4">IFERROR(1 - (H14/H2),0)</f>
        <v>0</v>
      </c>
      <c r="O2" s="26">
        <f t="shared" ref="O2:O13" si="5">IFERROR(1 - (I14/I2),0)</f>
        <v>0</v>
      </c>
    </row>
    <row r="3" spans="1:15" x14ac:dyDescent="0.25">
      <c r="A3" s="18">
        <v>2025</v>
      </c>
      <c r="B3" s="18" t="s">
        <v>54</v>
      </c>
      <c r="C3" s="19">
        <v>0</v>
      </c>
      <c r="D3" s="20">
        <v>0</v>
      </c>
      <c r="F3" s="20">
        <v>0</v>
      </c>
      <c r="H3" s="20">
        <v>0</v>
      </c>
      <c r="J3" s="26">
        <f t="shared" si="0"/>
        <v>0</v>
      </c>
      <c r="K3" s="26">
        <f t="shared" si="1"/>
        <v>0</v>
      </c>
      <c r="L3" s="26">
        <f t="shared" si="2"/>
        <v>0</v>
      </c>
      <c r="M3" s="26">
        <f t="shared" si="3"/>
        <v>0</v>
      </c>
      <c r="N3" s="26">
        <f t="shared" si="4"/>
        <v>0</v>
      </c>
      <c r="O3" s="26">
        <f t="shared" si="5"/>
        <v>0</v>
      </c>
    </row>
    <row r="4" spans="1:15" x14ac:dyDescent="0.25">
      <c r="A4" s="18">
        <v>2025</v>
      </c>
      <c r="B4" s="18" t="s">
        <v>54</v>
      </c>
      <c r="C4" s="19">
        <v>0.15</v>
      </c>
      <c r="D4" s="20">
        <v>48350</v>
      </c>
      <c r="F4" s="20">
        <v>96700</v>
      </c>
      <c r="H4" s="20">
        <v>64750</v>
      </c>
      <c r="J4" s="26">
        <f t="shared" si="0"/>
        <v>2.7404343329886283E-2</v>
      </c>
      <c r="K4" s="26">
        <f t="shared" si="1"/>
        <v>0</v>
      </c>
      <c r="L4" s="26">
        <f t="shared" si="2"/>
        <v>2.7404343329886283E-2</v>
      </c>
      <c r="M4" s="26">
        <f t="shared" si="3"/>
        <v>0</v>
      </c>
      <c r="N4" s="26">
        <f t="shared" si="4"/>
        <v>2.7027027027026973E-2</v>
      </c>
      <c r="O4" s="26">
        <f t="shared" si="5"/>
        <v>0</v>
      </c>
    </row>
    <row r="5" spans="1:15" x14ac:dyDescent="0.25">
      <c r="A5" s="18">
        <v>2025</v>
      </c>
      <c r="B5" s="18" t="s">
        <v>54</v>
      </c>
      <c r="C5" s="19">
        <v>0.2</v>
      </c>
      <c r="D5" s="20">
        <v>533400</v>
      </c>
      <c r="F5" s="20">
        <v>600050</v>
      </c>
      <c r="H5" s="20">
        <v>566700</v>
      </c>
      <c r="J5" s="26">
        <f t="shared" si="0"/>
        <v>2.718410198725163E-2</v>
      </c>
      <c r="K5" s="26">
        <f t="shared" si="1"/>
        <v>0</v>
      </c>
      <c r="L5" s="26">
        <f t="shared" si="2"/>
        <v>2.7164402966419421E-2</v>
      </c>
      <c r="M5" s="26">
        <f t="shared" si="3"/>
        <v>0</v>
      </c>
      <c r="N5" s="26">
        <f t="shared" si="4"/>
        <v>2.7086641962237534E-2</v>
      </c>
      <c r="O5" s="26">
        <f t="shared" si="5"/>
        <v>0</v>
      </c>
    </row>
    <row r="6" spans="1:15" x14ac:dyDescent="0.25">
      <c r="A6" s="18">
        <v>2025</v>
      </c>
      <c r="B6" s="18" t="s">
        <v>45</v>
      </c>
      <c r="C6" s="19">
        <v>0.1</v>
      </c>
      <c r="D6" s="20">
        <v>0</v>
      </c>
      <c r="E6" s="20">
        <v>11925</v>
      </c>
      <c r="F6" s="20">
        <v>0</v>
      </c>
      <c r="G6" s="20">
        <v>23850</v>
      </c>
      <c r="H6" s="20">
        <v>0</v>
      </c>
      <c r="I6" s="20">
        <v>17000</v>
      </c>
      <c r="J6" s="26">
        <f t="shared" si="0"/>
        <v>0</v>
      </c>
      <c r="K6" s="26">
        <f t="shared" si="1"/>
        <v>2.7253668763102756E-2</v>
      </c>
      <c r="L6" s="26">
        <f t="shared" si="2"/>
        <v>0</v>
      </c>
      <c r="M6" s="26">
        <f t="shared" si="3"/>
        <v>2.7253668763102756E-2</v>
      </c>
      <c r="N6" s="26">
        <f t="shared" si="4"/>
        <v>0</v>
      </c>
      <c r="O6" s="26">
        <f t="shared" si="5"/>
        <v>2.6470588235294135E-2</v>
      </c>
    </row>
    <row r="7" spans="1:15" x14ac:dyDescent="0.25">
      <c r="A7" s="18">
        <v>2025</v>
      </c>
      <c r="B7" s="18" t="s">
        <v>45</v>
      </c>
      <c r="C7" s="19">
        <v>0.12</v>
      </c>
      <c r="D7" s="20">
        <f t="shared" ref="D7:D12" si="6">E6+1</f>
        <v>11926</v>
      </c>
      <c r="E7" s="20">
        <v>48475</v>
      </c>
      <c r="F7" s="20">
        <f t="shared" ref="F7:F12" si="7">G6+1</f>
        <v>23851</v>
      </c>
      <c r="G7" s="20">
        <v>96950</v>
      </c>
      <c r="H7" s="20">
        <f t="shared" ref="H7:H12" si="8">I6+1</f>
        <v>17001</v>
      </c>
      <c r="I7" s="20">
        <v>64850</v>
      </c>
      <c r="J7" s="26">
        <f t="shared" si="0"/>
        <v>2.7251383531779361E-2</v>
      </c>
      <c r="K7" s="26">
        <f t="shared" si="1"/>
        <v>2.7333677153171698E-2</v>
      </c>
      <c r="L7" s="26">
        <f t="shared" si="2"/>
        <v>2.7252526099534657E-2</v>
      </c>
      <c r="M7" s="26">
        <f t="shared" si="3"/>
        <v>2.7333677153171698E-2</v>
      </c>
      <c r="N7" s="26">
        <f t="shared" si="4"/>
        <v>2.6469031233456897E-2</v>
      </c>
      <c r="O7" s="26">
        <f t="shared" si="5"/>
        <v>2.6985350809560549E-2</v>
      </c>
    </row>
    <row r="8" spans="1:15" x14ac:dyDescent="0.25">
      <c r="A8" s="18">
        <v>2025</v>
      </c>
      <c r="B8" s="18" t="s">
        <v>45</v>
      </c>
      <c r="C8" s="19">
        <v>0.22</v>
      </c>
      <c r="D8" s="20">
        <f t="shared" si="6"/>
        <v>48476</v>
      </c>
      <c r="E8" s="20">
        <v>103350</v>
      </c>
      <c r="F8" s="20">
        <f t="shared" si="7"/>
        <v>96951</v>
      </c>
      <c r="G8" s="20">
        <v>206700</v>
      </c>
      <c r="H8" s="20">
        <f t="shared" si="8"/>
        <v>64851</v>
      </c>
      <c r="I8" s="20">
        <v>103350</v>
      </c>
      <c r="J8" s="26">
        <f t="shared" si="0"/>
        <v>2.7333113293176003E-2</v>
      </c>
      <c r="K8" s="26">
        <f t="shared" si="1"/>
        <v>2.7334300919206633E-2</v>
      </c>
      <c r="L8" s="26">
        <f t="shared" si="2"/>
        <v>2.7333395220265899E-2</v>
      </c>
      <c r="M8" s="26">
        <f t="shared" si="3"/>
        <v>2.7334300919206633E-2</v>
      </c>
      <c r="N8" s="26">
        <f t="shared" si="4"/>
        <v>2.6984934696458018E-2</v>
      </c>
      <c r="O8" s="26">
        <f t="shared" si="5"/>
        <v>2.7576197387518153E-2</v>
      </c>
    </row>
    <row r="9" spans="1:15" x14ac:dyDescent="0.25">
      <c r="A9" s="18">
        <v>2025</v>
      </c>
      <c r="B9" s="18" t="s">
        <v>45</v>
      </c>
      <c r="C9" s="19">
        <v>0.24</v>
      </c>
      <c r="D9" s="20">
        <f t="shared" si="6"/>
        <v>103351</v>
      </c>
      <c r="E9" s="20">
        <v>197300</v>
      </c>
      <c r="F9" s="20">
        <f t="shared" si="7"/>
        <v>206701</v>
      </c>
      <c r="G9" s="20">
        <v>394600</v>
      </c>
      <c r="H9" s="20">
        <f t="shared" si="8"/>
        <v>103351</v>
      </c>
      <c r="I9" s="20">
        <v>197300</v>
      </c>
      <c r="J9" s="26">
        <f t="shared" si="0"/>
        <v>2.7334036438931397E-2</v>
      </c>
      <c r="K9" s="26">
        <f t="shared" si="1"/>
        <v>2.7116066903193126E-2</v>
      </c>
      <c r="L9" s="26">
        <f t="shared" si="2"/>
        <v>2.7334168678429194E-2</v>
      </c>
      <c r="M9" s="26">
        <f t="shared" si="3"/>
        <v>2.7116066903193126E-2</v>
      </c>
      <c r="N9" s="26">
        <f t="shared" si="4"/>
        <v>2.7575930566709594E-2</v>
      </c>
      <c r="O9" s="26">
        <f t="shared" si="5"/>
        <v>2.7116066903193126E-2</v>
      </c>
    </row>
    <row r="10" spans="1:15" x14ac:dyDescent="0.25">
      <c r="A10" s="18">
        <v>2025</v>
      </c>
      <c r="B10" s="18" t="s">
        <v>45</v>
      </c>
      <c r="C10" s="19">
        <v>0.32</v>
      </c>
      <c r="D10" s="20">
        <f t="shared" si="6"/>
        <v>197301</v>
      </c>
      <c r="E10" s="20">
        <v>250525</v>
      </c>
      <c r="F10" s="20">
        <f t="shared" si="7"/>
        <v>394601</v>
      </c>
      <c r="G10" s="20">
        <v>501050</v>
      </c>
      <c r="H10" s="20">
        <f t="shared" si="8"/>
        <v>197301</v>
      </c>
      <c r="I10" s="20">
        <v>250500</v>
      </c>
      <c r="J10" s="26">
        <f t="shared" si="0"/>
        <v>2.7115929468172983E-2</v>
      </c>
      <c r="K10" s="26">
        <f t="shared" si="1"/>
        <v>2.7142999700628723E-2</v>
      </c>
      <c r="L10" s="26">
        <f t="shared" si="2"/>
        <v>2.7115998185508916E-2</v>
      </c>
      <c r="M10" s="26">
        <f t="shared" si="3"/>
        <v>2.7142999700628723E-2</v>
      </c>
      <c r="N10" s="26">
        <f t="shared" si="4"/>
        <v>2.7115929468172983E-2</v>
      </c>
      <c r="O10" s="26">
        <f t="shared" si="5"/>
        <v>2.7145708582834382E-2</v>
      </c>
    </row>
    <row r="11" spans="1:15" x14ac:dyDescent="0.25">
      <c r="A11" s="18">
        <v>2025</v>
      </c>
      <c r="B11" s="18" t="s">
        <v>45</v>
      </c>
      <c r="C11" s="19">
        <v>0.35</v>
      </c>
      <c r="D11" s="20">
        <f t="shared" si="6"/>
        <v>250526</v>
      </c>
      <c r="E11" s="20">
        <v>626350</v>
      </c>
      <c r="F11" s="20">
        <f t="shared" si="7"/>
        <v>501051</v>
      </c>
      <c r="G11" s="20">
        <v>751600</v>
      </c>
      <c r="H11" s="20">
        <f t="shared" si="8"/>
        <v>250501</v>
      </c>
      <c r="I11" s="20">
        <v>626350</v>
      </c>
      <c r="J11" s="26">
        <f t="shared" si="0"/>
        <v>2.7142891356585763E-2</v>
      </c>
      <c r="K11" s="26">
        <f t="shared" si="1"/>
        <v>2.7141374630797466E-2</v>
      </c>
      <c r="L11" s="26">
        <f t="shared" si="2"/>
        <v>2.7142945528499052E-2</v>
      </c>
      <c r="M11" s="26">
        <f t="shared" si="3"/>
        <v>2.7142096860031883E-2</v>
      </c>
      <c r="N11" s="26">
        <f t="shared" si="4"/>
        <v>2.7145600217164834E-2</v>
      </c>
      <c r="O11" s="26">
        <f t="shared" si="5"/>
        <v>2.7141374630797466E-2</v>
      </c>
    </row>
    <row r="12" spans="1:15" x14ac:dyDescent="0.25">
      <c r="A12" s="18">
        <v>2025</v>
      </c>
      <c r="B12" s="18" t="s">
        <v>45</v>
      </c>
      <c r="C12" s="19">
        <v>0.37</v>
      </c>
      <c r="D12" s="20">
        <f t="shared" si="6"/>
        <v>626351</v>
      </c>
      <c r="E12" s="20">
        <v>10000000</v>
      </c>
      <c r="F12" s="20">
        <f t="shared" si="7"/>
        <v>751601</v>
      </c>
      <c r="G12" s="20">
        <v>10000000</v>
      </c>
      <c r="H12" s="20">
        <f t="shared" si="8"/>
        <v>626351</v>
      </c>
      <c r="I12" s="20">
        <v>10000000</v>
      </c>
      <c r="J12" s="26">
        <f t="shared" si="0"/>
        <v>2.7141331298265681E-2</v>
      </c>
      <c r="K12" s="26">
        <f t="shared" si="1"/>
        <v>0</v>
      </c>
      <c r="L12" s="26">
        <f t="shared" si="2"/>
        <v>2.7142060747657348E-2</v>
      </c>
      <c r="M12" s="26">
        <f t="shared" si="3"/>
        <v>0</v>
      </c>
      <c r="N12" s="26">
        <f t="shared" si="4"/>
        <v>2.7141331298265681E-2</v>
      </c>
      <c r="O12" s="26">
        <f t="shared" si="5"/>
        <v>0</v>
      </c>
    </row>
    <row r="13" spans="1:15" x14ac:dyDescent="0.25">
      <c r="A13" s="18">
        <v>2025</v>
      </c>
      <c r="B13" s="18" t="s">
        <v>8</v>
      </c>
      <c r="D13" s="20">
        <v>15000</v>
      </c>
      <c r="F13" s="20">
        <v>30000</v>
      </c>
      <c r="H13" s="20">
        <v>22500</v>
      </c>
      <c r="J13" s="26">
        <f t="shared" si="0"/>
        <v>2.6666666666666616E-2</v>
      </c>
      <c r="K13" s="26">
        <f t="shared" si="1"/>
        <v>0</v>
      </c>
      <c r="L13" s="26">
        <f t="shared" si="2"/>
        <v>2.6666666666666616E-2</v>
      </c>
      <c r="M13" s="26">
        <f t="shared" si="3"/>
        <v>0</v>
      </c>
      <c r="N13" s="26">
        <f t="shared" si="4"/>
        <v>2.6666666666666616E-2</v>
      </c>
      <c r="O13" s="26">
        <f t="shared" si="5"/>
        <v>0</v>
      </c>
    </row>
    <row r="14" spans="1:15" s="22" customFormat="1" x14ac:dyDescent="0.25">
      <c r="A14" s="21">
        <v>2024</v>
      </c>
      <c r="B14" s="18" t="s">
        <v>53</v>
      </c>
      <c r="C14" s="19"/>
      <c r="D14" s="20">
        <v>85700</v>
      </c>
      <c r="E14" s="20">
        <v>609350</v>
      </c>
      <c r="F14" s="20">
        <v>133300</v>
      </c>
      <c r="G14" s="20">
        <v>1218700</v>
      </c>
      <c r="H14" s="20"/>
      <c r="I14" s="20"/>
      <c r="J14" s="26">
        <v>0</v>
      </c>
      <c r="K14" s="26">
        <v>0</v>
      </c>
      <c r="L14" s="26">
        <v>0</v>
      </c>
      <c r="M14" s="26">
        <v>0</v>
      </c>
      <c r="N14" s="26">
        <v>0</v>
      </c>
      <c r="O14" s="26">
        <v>0</v>
      </c>
    </row>
    <row r="15" spans="1:15" s="22" customFormat="1" x14ac:dyDescent="0.25">
      <c r="A15" s="21">
        <v>2024</v>
      </c>
      <c r="B15" s="18" t="s">
        <v>54</v>
      </c>
      <c r="C15" s="19">
        <v>0</v>
      </c>
      <c r="D15" s="20">
        <v>0</v>
      </c>
      <c r="E15" s="20"/>
      <c r="F15" s="20">
        <v>0</v>
      </c>
      <c r="G15" s="20"/>
      <c r="H15" s="20">
        <v>0</v>
      </c>
      <c r="J15" s="26">
        <f t="shared" ref="J15:J25" si="9">IFERROR(1 - (D27/D15),0)</f>
        <v>0</v>
      </c>
      <c r="K15" s="26">
        <f t="shared" ref="K15:K25" si="10">IFERROR(1 - (E27/E15),0)</f>
        <v>0</v>
      </c>
      <c r="L15" s="26">
        <f t="shared" ref="L15:L25" si="11">IFERROR(1 - (F27/F15),0)</f>
        <v>0</v>
      </c>
      <c r="M15" s="26">
        <f t="shared" ref="M15:M25" si="12">IFERROR(1 - (G27/G15),0)</f>
        <v>0</v>
      </c>
      <c r="N15" s="26">
        <f t="shared" ref="N15:N25" si="13">IFERROR(1 - (H27/H15),0)</f>
        <v>0</v>
      </c>
      <c r="O15" s="26">
        <f t="shared" ref="O15:O25" si="14">IFERROR(1 - (I27/I15),0)</f>
        <v>0</v>
      </c>
    </row>
    <row r="16" spans="1:15" s="22" customFormat="1" x14ac:dyDescent="0.25">
      <c r="A16" s="21">
        <v>2024</v>
      </c>
      <c r="B16" s="18" t="s">
        <v>54</v>
      </c>
      <c r="C16" s="19">
        <v>0.15</v>
      </c>
      <c r="D16" s="20">
        <v>47025</v>
      </c>
      <c r="E16" s="20"/>
      <c r="F16" s="20">
        <v>94050</v>
      </c>
      <c r="G16" s="20"/>
      <c r="H16" s="20">
        <v>63000</v>
      </c>
      <c r="J16" s="26">
        <f t="shared" si="9"/>
        <v>5.1036682615629991E-2</v>
      </c>
      <c r="K16" s="26">
        <f t="shared" si="10"/>
        <v>0</v>
      </c>
      <c r="L16" s="26">
        <f t="shared" si="11"/>
        <v>5.1036682615629991E-2</v>
      </c>
      <c r="M16" s="26">
        <f t="shared" si="12"/>
        <v>0</v>
      </c>
      <c r="N16" s="26">
        <f t="shared" si="13"/>
        <v>5.1587301587301626E-2</v>
      </c>
      <c r="O16" s="26">
        <f t="shared" si="14"/>
        <v>0</v>
      </c>
    </row>
    <row r="17" spans="1:16" s="22" customFormat="1" x14ac:dyDescent="0.25">
      <c r="A17" s="21">
        <v>2024</v>
      </c>
      <c r="B17" s="18" t="s">
        <v>54</v>
      </c>
      <c r="C17" s="19">
        <v>0.2</v>
      </c>
      <c r="D17" s="20">
        <v>518900</v>
      </c>
      <c r="E17" s="20"/>
      <c r="F17" s="20">
        <v>583750</v>
      </c>
      <c r="G17" s="20"/>
      <c r="H17" s="20">
        <v>551350</v>
      </c>
      <c r="J17" s="26">
        <f t="shared" si="9"/>
        <v>5.1262285604162683E-2</v>
      </c>
      <c r="K17" s="26">
        <f t="shared" si="10"/>
        <v>0</v>
      </c>
      <c r="L17" s="26">
        <f t="shared" si="11"/>
        <v>5.1220556745182E-2</v>
      </c>
      <c r="M17" s="26">
        <f t="shared" si="12"/>
        <v>0</v>
      </c>
      <c r="N17" s="26">
        <f t="shared" si="13"/>
        <v>5.1328557177836243E-2</v>
      </c>
      <c r="O17" s="26">
        <f t="shared" si="14"/>
        <v>0</v>
      </c>
    </row>
    <row r="18" spans="1:16" s="22" customFormat="1" x14ac:dyDescent="0.25">
      <c r="A18" s="21">
        <v>2024</v>
      </c>
      <c r="B18" s="18" t="s">
        <v>45</v>
      </c>
      <c r="C18" s="23">
        <v>0.1</v>
      </c>
      <c r="D18" s="24">
        <v>0</v>
      </c>
      <c r="E18" s="24">
        <v>11600</v>
      </c>
      <c r="F18" s="24">
        <v>0</v>
      </c>
      <c r="G18" s="24">
        <v>23200</v>
      </c>
      <c r="H18" s="24">
        <v>0</v>
      </c>
      <c r="I18" s="24">
        <v>16550</v>
      </c>
      <c r="J18" s="26">
        <f t="shared" si="9"/>
        <v>0</v>
      </c>
      <c r="K18" s="26">
        <f t="shared" si="10"/>
        <v>5.1724137931034475E-2</v>
      </c>
      <c r="L18" s="26">
        <f t="shared" si="11"/>
        <v>0</v>
      </c>
      <c r="M18" s="26">
        <f t="shared" si="12"/>
        <v>5.1724137931034475E-2</v>
      </c>
      <c r="N18" s="26">
        <f t="shared" si="13"/>
        <v>0</v>
      </c>
      <c r="O18" s="26">
        <f t="shared" si="14"/>
        <v>5.1359516616314216E-2</v>
      </c>
    </row>
    <row r="19" spans="1:16" s="22" customFormat="1" x14ac:dyDescent="0.25">
      <c r="A19" s="21">
        <v>2024</v>
      </c>
      <c r="B19" s="18" t="s">
        <v>45</v>
      </c>
      <c r="C19" s="23">
        <v>0.12</v>
      </c>
      <c r="D19" s="20">
        <f t="shared" ref="D19:D24" si="15">E18+1</f>
        <v>11601</v>
      </c>
      <c r="E19" s="24">
        <v>47150</v>
      </c>
      <c r="F19" s="20">
        <f t="shared" ref="F19:F24" si="16">G18+1</f>
        <v>23201</v>
      </c>
      <c r="G19" s="24">
        <v>94300</v>
      </c>
      <c r="H19" s="20">
        <f t="shared" ref="H19:H24" si="17">I18+1</f>
        <v>16551</v>
      </c>
      <c r="I19" s="24">
        <v>63100</v>
      </c>
      <c r="J19" s="26">
        <f t="shared" si="9"/>
        <v>5.1719679337988156E-2</v>
      </c>
      <c r="K19" s="26">
        <f t="shared" si="10"/>
        <v>5.1431601272534433E-2</v>
      </c>
      <c r="L19" s="26">
        <f t="shared" si="11"/>
        <v>5.1721908538425065E-2</v>
      </c>
      <c r="M19" s="26">
        <f t="shared" si="12"/>
        <v>5.1431601272534433E-2</v>
      </c>
      <c r="N19" s="26">
        <f t="shared" si="13"/>
        <v>5.1356413509757726E-2</v>
      </c>
      <c r="O19" s="26">
        <f t="shared" si="14"/>
        <v>5.1505546751188569E-2</v>
      </c>
    </row>
    <row r="20" spans="1:16" s="22" customFormat="1" x14ac:dyDescent="0.25">
      <c r="A20" s="21">
        <v>2024</v>
      </c>
      <c r="B20" s="18" t="s">
        <v>45</v>
      </c>
      <c r="C20" s="23">
        <v>0.22</v>
      </c>
      <c r="D20" s="20">
        <f t="shared" si="15"/>
        <v>47151</v>
      </c>
      <c r="E20" s="24">
        <v>100525</v>
      </c>
      <c r="F20" s="20">
        <f t="shared" si="16"/>
        <v>94301</v>
      </c>
      <c r="G20" s="24">
        <v>201050</v>
      </c>
      <c r="H20" s="20">
        <f t="shared" si="17"/>
        <v>63101</v>
      </c>
      <c r="I20" s="24">
        <v>100500</v>
      </c>
      <c r="J20" s="26">
        <f t="shared" si="9"/>
        <v>5.1430510487582404E-2</v>
      </c>
      <c r="K20" s="26">
        <f t="shared" si="10"/>
        <v>5.1231037055458839E-2</v>
      </c>
      <c r="L20" s="26">
        <f t="shared" si="11"/>
        <v>5.1431055874274878E-2</v>
      </c>
      <c r="M20" s="26">
        <f t="shared" si="12"/>
        <v>5.1231037055458839E-2</v>
      </c>
      <c r="N20" s="26">
        <f t="shared" si="13"/>
        <v>5.1504730511402363E-2</v>
      </c>
      <c r="O20" s="26">
        <f t="shared" si="14"/>
        <v>5.1243781094527319E-2</v>
      </c>
    </row>
    <row r="21" spans="1:16" s="22" customFormat="1" x14ac:dyDescent="0.25">
      <c r="A21" s="21">
        <v>2024</v>
      </c>
      <c r="B21" s="18" t="s">
        <v>45</v>
      </c>
      <c r="C21" s="23">
        <v>0.24</v>
      </c>
      <c r="D21" s="20">
        <f t="shared" si="15"/>
        <v>100526</v>
      </c>
      <c r="E21" s="24">
        <v>191950</v>
      </c>
      <c r="F21" s="20">
        <f t="shared" si="16"/>
        <v>201051</v>
      </c>
      <c r="G21" s="24">
        <v>383900</v>
      </c>
      <c r="H21" s="20">
        <f t="shared" si="17"/>
        <v>100501</v>
      </c>
      <c r="I21" s="24">
        <v>191950</v>
      </c>
      <c r="J21" s="26">
        <f t="shared" si="9"/>
        <v>5.1230527425740635E-2</v>
      </c>
      <c r="K21" s="26">
        <f t="shared" si="10"/>
        <v>5.1315446730919478E-2</v>
      </c>
      <c r="L21" s="26">
        <f t="shared" si="11"/>
        <v>5.1230782239332306E-2</v>
      </c>
      <c r="M21" s="26">
        <f t="shared" si="12"/>
        <v>5.1315446730919478E-2</v>
      </c>
      <c r="N21" s="26">
        <f t="shared" si="13"/>
        <v>5.1243271211231733E-2</v>
      </c>
      <c r="O21" s="26">
        <f t="shared" si="14"/>
        <v>5.1315446730919478E-2</v>
      </c>
    </row>
    <row r="22" spans="1:16" s="22" customFormat="1" x14ac:dyDescent="0.25">
      <c r="A22" s="21">
        <v>2024</v>
      </c>
      <c r="B22" s="18" t="s">
        <v>45</v>
      </c>
      <c r="C22" s="23">
        <v>0.32</v>
      </c>
      <c r="D22" s="20">
        <f t="shared" si="15"/>
        <v>191951</v>
      </c>
      <c r="E22" s="24">
        <v>243725</v>
      </c>
      <c r="F22" s="20">
        <f t="shared" si="16"/>
        <v>383901</v>
      </c>
      <c r="G22" s="24">
        <v>487450</v>
      </c>
      <c r="H22" s="20">
        <f t="shared" si="17"/>
        <v>191951</v>
      </c>
      <c r="I22" s="24">
        <v>243700</v>
      </c>
      <c r="J22" s="26">
        <f t="shared" si="9"/>
        <v>5.1315179394741395E-2</v>
      </c>
      <c r="K22" s="26">
        <f t="shared" si="10"/>
        <v>5.1184736896091931E-2</v>
      </c>
      <c r="L22" s="26">
        <f t="shared" si="11"/>
        <v>5.1315313062482271E-2</v>
      </c>
      <c r="M22" s="26">
        <f t="shared" si="12"/>
        <v>5.1184736896091931E-2</v>
      </c>
      <c r="N22" s="26">
        <f t="shared" si="13"/>
        <v>5.1315179394741395E-2</v>
      </c>
      <c r="O22" s="26">
        <f t="shared" si="14"/>
        <v>5.1087402544111593E-2</v>
      </c>
    </row>
    <row r="23" spans="1:16" s="22" customFormat="1" x14ac:dyDescent="0.25">
      <c r="A23" s="21">
        <v>2024</v>
      </c>
      <c r="B23" s="18" t="s">
        <v>45</v>
      </c>
      <c r="C23" s="23">
        <v>0.35</v>
      </c>
      <c r="D23" s="20">
        <f t="shared" si="15"/>
        <v>243726</v>
      </c>
      <c r="E23" s="24">
        <v>609350</v>
      </c>
      <c r="F23" s="20">
        <f t="shared" si="16"/>
        <v>487451</v>
      </c>
      <c r="G23" s="24">
        <v>731200</v>
      </c>
      <c r="H23" s="20">
        <f t="shared" si="17"/>
        <v>243701</v>
      </c>
      <c r="I23" s="24">
        <v>609350</v>
      </c>
      <c r="J23" s="26">
        <f t="shared" si="9"/>
        <v>5.1184526886749904E-2</v>
      </c>
      <c r="K23" s="26">
        <f t="shared" si="10"/>
        <v>5.1243127923196852E-2</v>
      </c>
      <c r="L23" s="26">
        <f t="shared" si="11"/>
        <v>5.1184631891205479E-2</v>
      </c>
      <c r="M23" s="26">
        <f t="shared" si="12"/>
        <v>5.1217177242888434E-2</v>
      </c>
      <c r="N23" s="26">
        <f t="shared" si="13"/>
        <v>5.1087192912626533E-2</v>
      </c>
      <c r="O23" s="26">
        <f t="shared" si="14"/>
        <v>5.1284155247394714E-2</v>
      </c>
    </row>
    <row r="24" spans="1:16" x14ac:dyDescent="0.25">
      <c r="A24" s="21">
        <v>2024</v>
      </c>
      <c r="B24" s="18" t="s">
        <v>45</v>
      </c>
      <c r="C24" s="23">
        <v>0.37</v>
      </c>
      <c r="D24" s="20">
        <f t="shared" si="15"/>
        <v>609351</v>
      </c>
      <c r="E24" s="24">
        <v>10000000</v>
      </c>
      <c r="F24" s="20">
        <f t="shared" si="16"/>
        <v>731201</v>
      </c>
      <c r="G24" s="24">
        <v>10000000</v>
      </c>
      <c r="H24" s="20">
        <f t="shared" si="17"/>
        <v>609351</v>
      </c>
      <c r="I24" s="24">
        <v>10000000</v>
      </c>
      <c r="J24" s="26">
        <f t="shared" si="9"/>
        <v>5.1243043828598012E-2</v>
      </c>
      <c r="K24" s="26">
        <f t="shared" si="10"/>
        <v>0</v>
      </c>
      <c r="L24" s="26">
        <f t="shared" si="11"/>
        <v>5.1217107197610523E-2</v>
      </c>
      <c r="M24" s="26">
        <f t="shared" si="12"/>
        <v>0</v>
      </c>
      <c r="N24" s="26">
        <f t="shared" si="13"/>
        <v>5.1284071085466287E-2</v>
      </c>
      <c r="O24" s="26">
        <f t="shared" si="14"/>
        <v>0</v>
      </c>
    </row>
    <row r="25" spans="1:16" x14ac:dyDescent="0.25">
      <c r="A25" s="21">
        <v>2024</v>
      </c>
      <c r="B25" s="18" t="s">
        <v>8</v>
      </c>
      <c r="D25" s="20">
        <v>14600</v>
      </c>
      <c r="F25" s="20">
        <v>29200</v>
      </c>
      <c r="H25" s="20">
        <v>21900</v>
      </c>
      <c r="J25" s="26">
        <f t="shared" si="9"/>
        <v>5.1369863013698613E-2</v>
      </c>
      <c r="K25" s="26">
        <f t="shared" si="10"/>
        <v>0</v>
      </c>
      <c r="L25" s="26">
        <f t="shared" si="11"/>
        <v>7.5342465753424626E-2</v>
      </c>
      <c r="M25" s="26">
        <f t="shared" si="12"/>
        <v>0</v>
      </c>
      <c r="N25" s="26">
        <f t="shared" si="13"/>
        <v>5.0228310502283158E-2</v>
      </c>
      <c r="O25" s="26">
        <f t="shared" si="14"/>
        <v>0</v>
      </c>
      <c r="P25" s="26">
        <f>SUM(J25:O25)/3</f>
        <v>5.8980213089802135E-2</v>
      </c>
    </row>
    <row r="26" spans="1:16" x14ac:dyDescent="0.25">
      <c r="A26" s="21">
        <v>2023</v>
      </c>
      <c r="B26" s="18" t="s">
        <v>53</v>
      </c>
      <c r="D26" s="20">
        <v>81300</v>
      </c>
      <c r="E26" s="20">
        <v>578150</v>
      </c>
      <c r="F26" s="20">
        <v>126500</v>
      </c>
      <c r="G26" s="20">
        <v>1156300</v>
      </c>
      <c r="J26" s="26">
        <v>0</v>
      </c>
      <c r="K26" s="26">
        <v>0</v>
      </c>
      <c r="L26" s="26">
        <v>0</v>
      </c>
      <c r="M26" s="26">
        <v>0</v>
      </c>
      <c r="N26" s="26">
        <v>0</v>
      </c>
      <c r="O26" s="26">
        <v>0</v>
      </c>
    </row>
    <row r="27" spans="1:16" x14ac:dyDescent="0.25">
      <c r="A27" s="21">
        <v>2023</v>
      </c>
      <c r="B27" s="18" t="s">
        <v>54</v>
      </c>
      <c r="C27" s="19">
        <v>0</v>
      </c>
      <c r="D27" s="20">
        <v>0</v>
      </c>
      <c r="F27" s="20">
        <v>0</v>
      </c>
      <c r="H27" s="20">
        <v>0</v>
      </c>
      <c r="J27" s="26">
        <v>0</v>
      </c>
      <c r="K27" s="26">
        <v>0</v>
      </c>
      <c r="L27" s="26">
        <v>0</v>
      </c>
      <c r="M27" s="26">
        <v>0</v>
      </c>
      <c r="N27" s="26">
        <v>0</v>
      </c>
      <c r="O27" s="26">
        <v>0</v>
      </c>
    </row>
    <row r="28" spans="1:16" x14ac:dyDescent="0.25">
      <c r="A28" s="21">
        <v>2023</v>
      </c>
      <c r="B28" s="18" t="s">
        <v>54</v>
      </c>
      <c r="C28" s="19">
        <v>0.15</v>
      </c>
      <c r="D28" s="20">
        <v>44625</v>
      </c>
      <c r="F28" s="20">
        <v>89250</v>
      </c>
      <c r="H28" s="20">
        <v>59750</v>
      </c>
      <c r="J28" s="26">
        <v>0</v>
      </c>
      <c r="K28" s="26">
        <v>0</v>
      </c>
      <c r="L28" s="26">
        <v>0</v>
      </c>
      <c r="M28" s="26">
        <v>0</v>
      </c>
      <c r="N28" s="26">
        <v>0</v>
      </c>
      <c r="O28" s="26">
        <v>0</v>
      </c>
    </row>
    <row r="29" spans="1:16" x14ac:dyDescent="0.25">
      <c r="A29" s="21">
        <v>2023</v>
      </c>
      <c r="B29" s="18" t="s">
        <v>54</v>
      </c>
      <c r="C29" s="19">
        <v>0.2</v>
      </c>
      <c r="D29" s="20">
        <v>492300</v>
      </c>
      <c r="F29" s="20">
        <v>553850</v>
      </c>
      <c r="H29" s="20">
        <v>523050</v>
      </c>
      <c r="J29" s="26">
        <v>0</v>
      </c>
      <c r="K29" s="26">
        <v>0</v>
      </c>
      <c r="L29" s="26">
        <v>0</v>
      </c>
      <c r="M29" s="26">
        <v>0</v>
      </c>
      <c r="N29" s="26">
        <v>0</v>
      </c>
      <c r="O29" s="26">
        <v>0</v>
      </c>
    </row>
    <row r="30" spans="1:16" x14ac:dyDescent="0.25">
      <c r="A30" s="21">
        <v>2023</v>
      </c>
      <c r="B30" s="18" t="s">
        <v>45</v>
      </c>
      <c r="C30" s="23">
        <v>0.1</v>
      </c>
      <c r="D30" s="20">
        <v>0</v>
      </c>
      <c r="E30" s="20">
        <v>11000</v>
      </c>
      <c r="F30" s="20">
        <v>0</v>
      </c>
      <c r="G30" s="20">
        <v>22000</v>
      </c>
      <c r="H30" s="20">
        <v>0</v>
      </c>
      <c r="I30" s="20">
        <v>15700</v>
      </c>
      <c r="J30" s="26">
        <v>0</v>
      </c>
      <c r="K30" s="26">
        <v>0</v>
      </c>
      <c r="L30" s="26">
        <v>0</v>
      </c>
      <c r="M30" s="26">
        <v>0</v>
      </c>
      <c r="N30" s="26">
        <v>0</v>
      </c>
      <c r="O30" s="26">
        <v>0</v>
      </c>
    </row>
    <row r="31" spans="1:16" x14ac:dyDescent="0.25">
      <c r="A31" s="21">
        <v>2023</v>
      </c>
      <c r="B31" s="18" t="s">
        <v>45</v>
      </c>
      <c r="C31" s="23">
        <v>0.12</v>
      </c>
      <c r="D31" s="20">
        <f t="shared" ref="D31:D36" si="18">E30+1</f>
        <v>11001</v>
      </c>
      <c r="E31" s="20">
        <v>44725</v>
      </c>
      <c r="F31" s="20">
        <f t="shared" ref="F31:F36" si="19">G30+1</f>
        <v>22001</v>
      </c>
      <c r="G31" s="20">
        <v>89450</v>
      </c>
      <c r="H31" s="20">
        <f t="shared" ref="H31:H36" si="20">I30+1</f>
        <v>15701</v>
      </c>
      <c r="I31" s="20">
        <v>59850</v>
      </c>
      <c r="J31" s="26">
        <v>0</v>
      </c>
      <c r="K31" s="26">
        <v>0</v>
      </c>
      <c r="L31" s="26">
        <v>0</v>
      </c>
      <c r="M31" s="26">
        <v>0</v>
      </c>
      <c r="N31" s="26">
        <v>0</v>
      </c>
      <c r="O31" s="26">
        <v>0</v>
      </c>
    </row>
    <row r="32" spans="1:16" x14ac:dyDescent="0.25">
      <c r="A32" s="21">
        <v>2023</v>
      </c>
      <c r="B32" s="18" t="s">
        <v>45</v>
      </c>
      <c r="C32" s="23">
        <v>0.22</v>
      </c>
      <c r="D32" s="20">
        <f t="shared" si="18"/>
        <v>44726</v>
      </c>
      <c r="E32" s="20">
        <v>95375</v>
      </c>
      <c r="F32" s="20">
        <f t="shared" si="19"/>
        <v>89451</v>
      </c>
      <c r="G32" s="20">
        <v>190750</v>
      </c>
      <c r="H32" s="20">
        <f t="shared" si="20"/>
        <v>59851</v>
      </c>
      <c r="I32" s="20">
        <v>95350</v>
      </c>
      <c r="J32" s="26">
        <v>0</v>
      </c>
      <c r="K32" s="26">
        <v>0</v>
      </c>
      <c r="L32" s="26">
        <v>0</v>
      </c>
      <c r="M32" s="26">
        <v>0</v>
      </c>
      <c r="N32" s="26">
        <v>0</v>
      </c>
      <c r="O32" s="26">
        <v>0</v>
      </c>
    </row>
    <row r="33" spans="1:15" x14ac:dyDescent="0.25">
      <c r="A33" s="21">
        <v>2023</v>
      </c>
      <c r="B33" s="18" t="s">
        <v>45</v>
      </c>
      <c r="C33" s="23">
        <v>0.24</v>
      </c>
      <c r="D33" s="20">
        <f t="shared" si="18"/>
        <v>95376</v>
      </c>
      <c r="E33" s="20">
        <v>182100</v>
      </c>
      <c r="F33" s="20">
        <f t="shared" si="19"/>
        <v>190751</v>
      </c>
      <c r="G33" s="20">
        <v>364200</v>
      </c>
      <c r="H33" s="20">
        <f t="shared" si="20"/>
        <v>95351</v>
      </c>
      <c r="I33" s="20">
        <v>182100</v>
      </c>
      <c r="J33" s="26">
        <v>0</v>
      </c>
      <c r="K33" s="26">
        <v>0</v>
      </c>
      <c r="L33" s="26">
        <v>0</v>
      </c>
      <c r="M33" s="26">
        <v>0</v>
      </c>
      <c r="N33" s="26">
        <v>0</v>
      </c>
      <c r="O33" s="26">
        <v>0</v>
      </c>
    </row>
    <row r="34" spans="1:15" x14ac:dyDescent="0.25">
      <c r="A34" s="21">
        <v>2023</v>
      </c>
      <c r="B34" s="18" t="s">
        <v>45</v>
      </c>
      <c r="C34" s="23">
        <v>0.32</v>
      </c>
      <c r="D34" s="20">
        <f t="shared" si="18"/>
        <v>182101</v>
      </c>
      <c r="E34" s="20">
        <v>231250</v>
      </c>
      <c r="F34" s="20">
        <f t="shared" si="19"/>
        <v>364201</v>
      </c>
      <c r="G34" s="20">
        <v>462500</v>
      </c>
      <c r="H34" s="20">
        <f t="shared" si="20"/>
        <v>182101</v>
      </c>
      <c r="I34" s="20">
        <v>231250</v>
      </c>
      <c r="J34" s="26">
        <v>0</v>
      </c>
      <c r="K34" s="26">
        <v>0</v>
      </c>
      <c r="L34" s="26">
        <v>0</v>
      </c>
      <c r="M34" s="26">
        <v>0</v>
      </c>
      <c r="N34" s="26">
        <v>0</v>
      </c>
      <c r="O34" s="26">
        <v>0</v>
      </c>
    </row>
    <row r="35" spans="1:15" x14ac:dyDescent="0.25">
      <c r="A35" s="21">
        <v>2023</v>
      </c>
      <c r="B35" s="18" t="s">
        <v>45</v>
      </c>
      <c r="C35" s="23">
        <v>0.35</v>
      </c>
      <c r="D35" s="20">
        <f t="shared" si="18"/>
        <v>231251</v>
      </c>
      <c r="E35" s="20">
        <v>578125</v>
      </c>
      <c r="F35" s="20">
        <f t="shared" si="19"/>
        <v>462501</v>
      </c>
      <c r="G35" s="20">
        <v>693750</v>
      </c>
      <c r="H35" s="20">
        <f t="shared" si="20"/>
        <v>231251</v>
      </c>
      <c r="I35" s="20">
        <v>578100</v>
      </c>
      <c r="J35" s="26">
        <v>0</v>
      </c>
      <c r="K35" s="26">
        <v>0</v>
      </c>
      <c r="L35" s="26">
        <v>0</v>
      </c>
      <c r="M35" s="26">
        <v>0</v>
      </c>
      <c r="N35" s="26">
        <v>0</v>
      </c>
      <c r="O35" s="26">
        <v>0</v>
      </c>
    </row>
    <row r="36" spans="1:15" x14ac:dyDescent="0.25">
      <c r="A36" s="21">
        <v>2023</v>
      </c>
      <c r="B36" s="18" t="s">
        <v>45</v>
      </c>
      <c r="C36" s="23">
        <v>0.37</v>
      </c>
      <c r="D36" s="20">
        <f t="shared" si="18"/>
        <v>578126</v>
      </c>
      <c r="E36" s="20">
        <v>10000000</v>
      </c>
      <c r="F36" s="20">
        <f t="shared" si="19"/>
        <v>693751</v>
      </c>
      <c r="G36" s="20">
        <v>10000000</v>
      </c>
      <c r="H36" s="20">
        <f t="shared" si="20"/>
        <v>578101</v>
      </c>
      <c r="I36" s="20">
        <v>10000000</v>
      </c>
      <c r="J36" s="26">
        <v>0</v>
      </c>
      <c r="K36" s="26">
        <v>0</v>
      </c>
      <c r="L36" s="26">
        <v>0</v>
      </c>
      <c r="M36" s="26">
        <v>0</v>
      </c>
      <c r="N36" s="26">
        <v>0</v>
      </c>
      <c r="O36" s="26">
        <v>0</v>
      </c>
    </row>
    <row r="37" spans="1:15" x14ac:dyDescent="0.25">
      <c r="A37" s="21">
        <v>2023</v>
      </c>
      <c r="B37" s="18" t="s">
        <v>8</v>
      </c>
      <c r="D37" s="20">
        <v>13850</v>
      </c>
      <c r="F37" s="20">
        <v>27000</v>
      </c>
      <c r="H37" s="20">
        <v>20800</v>
      </c>
      <c r="J37" s="26">
        <v>0</v>
      </c>
      <c r="K37" s="26">
        <v>0</v>
      </c>
      <c r="L37" s="26">
        <v>0</v>
      </c>
      <c r="M37" s="26">
        <v>0</v>
      </c>
      <c r="N37" s="26">
        <v>0</v>
      </c>
      <c r="O37" s="26">
        <v>0</v>
      </c>
    </row>
  </sheetData>
  <autoFilter ref="A1:I1"/>
  <sortState ref="A2:O37">
    <sortCondition descending="1" ref="A2:A37"/>
    <sortCondition ref="B2:B37"/>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P30" sqref="P30"/>
    </sheetView>
  </sheetViews>
  <sheetFormatPr defaultRowHeight="15" x14ac:dyDescent="0.25"/>
  <sheetData>
    <row r="1" spans="1:1" x14ac:dyDescent="0.25">
      <c r="A1" s="9" t="s">
        <v>76</v>
      </c>
    </row>
  </sheetData>
  <hyperlinks>
    <hyperlink ref="A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T_AMT</vt:lpstr>
      <vt:lpstr>T_CapitalGain</vt:lpstr>
      <vt:lpstr>T_TaxBracket</vt:lpstr>
      <vt:lpstr>T_StandardDeduction</vt:lpstr>
      <vt:lpstr>T_LEF</vt:lpstr>
      <vt:lpstr>TaxYear</vt:lpstr>
      <vt:lpstr>Source</vt:lpstr>
      <vt:lpstr>Tax_Inflation</vt:lpstr>
      <vt:lpstr>Sources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Puggi</dc:creator>
  <cp:lastModifiedBy>Jim Puggi</cp:lastModifiedBy>
  <dcterms:created xsi:type="dcterms:W3CDTF">2025-04-12T13:03:29Z</dcterms:created>
  <dcterms:modified xsi:type="dcterms:W3CDTF">2026-05-01T22:14:14Z</dcterms:modified>
</cp:coreProperties>
</file>